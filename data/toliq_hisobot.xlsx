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" sheetId="1" r:id="rId5"/>
    <sheet state="visible" name="0107" sheetId="2" r:id="rId6"/>
  </sheets>
  <definedNames>
    <definedName hidden="1" localSheetId="0" name="_xlnm._FilterDatabase">'0108'!$A$3:$T$146</definedName>
    <definedName hidden="1" localSheetId="1" name="_xlnm._FilterDatabase">'0107'!$A$3:$AJ$289</definedName>
  </definedNames>
  <calcPr/>
</workbook>
</file>

<file path=xl/sharedStrings.xml><?xml version="1.0" encoding="utf-8"?>
<sst xmlns="http://schemas.openxmlformats.org/spreadsheetml/2006/main" count="2793" uniqueCount="944">
  <si>
    <t>Отчет о данных ряда CT</t>
  </si>
  <si>
    <t>Регион / ТП:</t>
  </si>
  <si>
    <t>Chinobod ETK</t>
  </si>
  <si>
    <t>Всего:</t>
  </si>
  <si>
    <t>Дата и Время:</t>
  </si>
  <si>
    <t>2026/07/01</t>
  </si>
  <si>
    <t>Номер счетчика:</t>
  </si>
  <si>
    <t>Время статистики:</t>
  </si>
  <si>
    <t>№</t>
  </si>
  <si>
    <t>No</t>
  </si>
  <si>
    <t>Дата и Время</t>
  </si>
  <si>
    <t>ETK nomi</t>
  </si>
  <si>
    <t>ЭСП</t>
  </si>
  <si>
    <t>TP nomer</t>
  </si>
  <si>
    <t>ТП</t>
  </si>
  <si>
    <t>Номер счетчика</t>
  </si>
  <si>
    <t>10 kV Fiderlar nomi</t>
  </si>
  <si>
    <t>Лицевой счет потребителя</t>
  </si>
  <si>
    <t>Имя потребителя</t>
  </si>
  <si>
    <t xml:space="preserve">Iste'molchilar </t>
  </si>
  <si>
    <t>Тип потребителя</t>
  </si>
  <si>
    <t>Трехфазный 5А (ТТ)</t>
  </si>
  <si>
    <t>Трансформатор напряжения</t>
  </si>
  <si>
    <t>+A(kWh)</t>
  </si>
  <si>
    <t>+A T1(KWh)</t>
  </si>
  <si>
    <t>TP lardagi balans hisoblagichlar turi</t>
  </si>
  <si>
    <t>+A T2(KWh)</t>
  </si>
  <si>
    <t>+A T3(KWh)</t>
  </si>
  <si>
    <t>TP lardagi balans hisoblagichlar raqami</t>
  </si>
  <si>
    <t>TP lardagi balans hisoblagichlar koyfisenti</t>
  </si>
  <si>
    <t>TP lardagi balans hisoblagichlarning  01.08.2026 yil kungi ko'rsatkichi</t>
  </si>
  <si>
    <t>+A T4(KWh)</t>
  </si>
  <si>
    <t>TP lardagi balans hisoblagichlarning  01.07.2026 yil kungi ko'rsatkichi</t>
  </si>
  <si>
    <t>-A(kWh)</t>
  </si>
  <si>
    <t>Farqi</t>
  </si>
  <si>
    <t>-A T1(KWh)</t>
  </si>
  <si>
    <t>Bir oylik iste'moli</t>
  </si>
  <si>
    <t>-A T2(KWh)</t>
  </si>
  <si>
    <t>-A T3(KWh)</t>
  </si>
  <si>
    <t>-A T4(KWh)</t>
  </si>
  <si>
    <t>A(kWh)</t>
  </si>
  <si>
    <t>R+(kWh)</t>
  </si>
  <si>
    <t>+R(kWh)</t>
  </si>
  <si>
    <t>R-(kWh)</t>
  </si>
  <si>
    <t>+R T1(kWh)</t>
  </si>
  <si>
    <t>+R T2(kWh)</t>
  </si>
  <si>
    <t>+R T3(kWh)</t>
  </si>
  <si>
    <t>+R T4(kWh)</t>
  </si>
  <si>
    <t>-R(kWh)</t>
  </si>
  <si>
    <t>Jami iste'molchi</t>
  </si>
  <si>
    <t xml:space="preserve"> -R T1(kWh)</t>
  </si>
  <si>
    <t>Aloqaga chiqayotgan iste'molchilar</t>
  </si>
  <si>
    <t>-R T2(kWh)</t>
  </si>
  <si>
    <t>Aloqadan chiqib ketgan iste'molchilar</t>
  </si>
  <si>
    <t>-R T3(kWh)</t>
  </si>
  <si>
    <t xml:space="preserve"> -R T4(kWh)</t>
  </si>
  <si>
    <t>R(kWh)</t>
  </si>
  <si>
    <t>Потребление&lt;br&gt; +A(кВтч)</t>
  </si>
  <si>
    <t>Потребление&lt;br&gt; -A(кВтч)</t>
  </si>
  <si>
    <t>Потребление&lt;br&gt; +R(кварч)</t>
  </si>
  <si>
    <t>T1</t>
  </si>
  <si>
    <t>Потребление&lt;br&gt; -R(кварч)</t>
  </si>
  <si>
    <t>T2</t>
  </si>
  <si>
    <t>T3</t>
  </si>
  <si>
    <t>T4</t>
  </si>
  <si>
    <t>65</t>
  </si>
  <si>
    <t>1</t>
  </si>
  <si>
    <t>124200378821</t>
  </si>
  <si>
    <t>Paranda</t>
  </si>
  <si>
    <t>000342453</t>
  </si>
  <si>
    <t>Индикатор баланса</t>
  </si>
  <si>
    <t>EX518 5A</t>
  </si>
  <si>
    <t>300/5</t>
  </si>
  <si>
    <t>124200518951</t>
  </si>
  <si>
    <t>1/1</t>
  </si>
  <si>
    <t>6</t>
  </si>
  <si>
    <t>Tashlama</t>
  </si>
  <si>
    <t>150</t>
  </si>
  <si>
    <t>124200574911</t>
  </si>
  <si>
    <t>124200378996</t>
  </si>
  <si>
    <t>000336791</t>
  </si>
  <si>
    <t>400/5</t>
  </si>
  <si>
    <t>7</t>
  </si>
  <si>
    <t>Qiyali</t>
  </si>
  <si>
    <t>124200514371</t>
  </si>
  <si>
    <t>8</t>
  </si>
  <si>
    <t>Kamoliy</t>
  </si>
  <si>
    <t>124200505140</t>
  </si>
  <si>
    <t>118</t>
  </si>
  <si>
    <t>124200378997</t>
  </si>
  <si>
    <t>000336792</t>
  </si>
  <si>
    <t>10</t>
  </si>
  <si>
    <t>Xaqulobod</t>
  </si>
  <si>
    <t>124200575013</t>
  </si>
  <si>
    <t>12</t>
  </si>
  <si>
    <t>124200516333</t>
  </si>
  <si>
    <t>309</t>
  </si>
  <si>
    <t>124200378998</t>
  </si>
  <si>
    <t>000340479</t>
  </si>
  <si>
    <t>100/5</t>
  </si>
  <si>
    <t>14</t>
  </si>
  <si>
    <t>124200516335</t>
  </si>
  <si>
    <t>19</t>
  </si>
  <si>
    <t>308</t>
  </si>
  <si>
    <t>124200378999</t>
  </si>
  <si>
    <t>124200383585</t>
  </si>
  <si>
    <t>000336793</t>
  </si>
  <si>
    <t>200/5</t>
  </si>
  <si>
    <t>20</t>
  </si>
  <si>
    <t>56</t>
  </si>
  <si>
    <t>124200515382</t>
  </si>
  <si>
    <t>24</t>
  </si>
  <si>
    <t>116</t>
  </si>
  <si>
    <t>75</t>
  </si>
  <si>
    <t>124200379000</t>
  </si>
  <si>
    <t>000336824</t>
  </si>
  <si>
    <t>124200515905</t>
  </si>
  <si>
    <t>27</t>
  </si>
  <si>
    <t>70</t>
  </si>
  <si>
    <t>124200519747</t>
  </si>
  <si>
    <t>28</t>
  </si>
  <si>
    <t>193</t>
  </si>
  <si>
    <t>Jo'jaxona</t>
  </si>
  <si>
    <t>124200379001</t>
  </si>
  <si>
    <t>169</t>
  </si>
  <si>
    <t>000335596</t>
  </si>
  <si>
    <t>124200516128</t>
  </si>
  <si>
    <t>29</t>
  </si>
  <si>
    <t>124200514155</t>
  </si>
  <si>
    <t>96</t>
  </si>
  <si>
    <t>124200379166</t>
  </si>
  <si>
    <t>000340475</t>
  </si>
  <si>
    <t>30</t>
  </si>
  <si>
    <t>63</t>
  </si>
  <si>
    <t>124200519302</t>
  </si>
  <si>
    <t>33</t>
  </si>
  <si>
    <t>74</t>
  </si>
  <si>
    <t>124200516657</t>
  </si>
  <si>
    <t>256</t>
  </si>
  <si>
    <t>124200379167</t>
  </si>
  <si>
    <t>000340474</t>
  </si>
  <si>
    <t>350/5</t>
  </si>
  <si>
    <t>34</t>
  </si>
  <si>
    <t>124</t>
  </si>
  <si>
    <t>124200519749</t>
  </si>
  <si>
    <t>36</t>
  </si>
  <si>
    <t>51</t>
  </si>
  <si>
    <t>124200379173</t>
  </si>
  <si>
    <t>39</t>
  </si>
  <si>
    <t>43</t>
  </si>
  <si>
    <t>124200379168</t>
  </si>
  <si>
    <t>124200574986</t>
  </si>
  <si>
    <t>000340480</t>
  </si>
  <si>
    <t>40</t>
  </si>
  <si>
    <t>124200594239</t>
  </si>
  <si>
    <t>41</t>
  </si>
  <si>
    <t>92</t>
  </si>
  <si>
    <t>124200519745</t>
  </si>
  <si>
    <t>42</t>
  </si>
  <si>
    <t>78</t>
  </si>
  <si>
    <t>124200516526</t>
  </si>
  <si>
    <t>000277730</t>
  </si>
  <si>
    <t>146</t>
  </si>
  <si>
    <t>44</t>
  </si>
  <si>
    <t>124200514409</t>
  </si>
  <si>
    <t>134</t>
  </si>
  <si>
    <t>124200379527</t>
  </si>
  <si>
    <t>000334625</t>
  </si>
  <si>
    <t>47</t>
  </si>
  <si>
    <t>124200518665</t>
  </si>
  <si>
    <t>66</t>
  </si>
  <si>
    <t>124200519889</t>
  </si>
  <si>
    <t>158</t>
  </si>
  <si>
    <t>124200379528</t>
  </si>
  <si>
    <t>000342452</t>
  </si>
  <si>
    <t>67</t>
  </si>
  <si>
    <t>124200514412</t>
  </si>
  <si>
    <t>72</t>
  </si>
  <si>
    <t>126</t>
  </si>
  <si>
    <t>124200382762</t>
  </si>
  <si>
    <t>124200518841</t>
  </si>
  <si>
    <t>000340465</t>
  </si>
  <si>
    <t>73</t>
  </si>
  <si>
    <t>124200514156</t>
  </si>
  <si>
    <t>173</t>
  </si>
  <si>
    <t>124200383580</t>
  </si>
  <si>
    <t>000360529</t>
  </si>
  <si>
    <t>124200514671</t>
  </si>
  <si>
    <t>57</t>
  </si>
  <si>
    <t>124200383581</t>
  </si>
  <si>
    <t>000335597</t>
  </si>
  <si>
    <t>76</t>
  </si>
  <si>
    <t>124200520256</t>
  </si>
  <si>
    <t>77</t>
  </si>
  <si>
    <t>124200525928</t>
  </si>
  <si>
    <t>155</t>
  </si>
  <si>
    <t>124200383582</t>
  </si>
  <si>
    <t>000340478</t>
  </si>
  <si>
    <t>124200574985</t>
  </si>
  <si>
    <t>79</t>
  </si>
  <si>
    <t>000342467</t>
  </si>
  <si>
    <t>124200514676</t>
  </si>
  <si>
    <t>81</t>
  </si>
  <si>
    <t>124200578047</t>
  </si>
  <si>
    <t>340</t>
  </si>
  <si>
    <t>124200383682</t>
  </si>
  <si>
    <t>000352033</t>
  </si>
  <si>
    <t>82</t>
  </si>
  <si>
    <t>124200515380</t>
  </si>
  <si>
    <t>83</t>
  </si>
  <si>
    <t>124200520252</t>
  </si>
  <si>
    <t>182</t>
  </si>
  <si>
    <t>124200502724</t>
  </si>
  <si>
    <t>000333752</t>
  </si>
  <si>
    <t>84</t>
  </si>
  <si>
    <t>124200592238</t>
  </si>
  <si>
    <t>85</t>
  </si>
  <si>
    <t>124200592870</t>
  </si>
  <si>
    <t>166А</t>
  </si>
  <si>
    <t>124200503084</t>
  </si>
  <si>
    <t>000319733</t>
  </si>
  <si>
    <t>86</t>
  </si>
  <si>
    <t>124200572752</t>
  </si>
  <si>
    <t>87</t>
  </si>
  <si>
    <t>184</t>
  </si>
  <si>
    <t>124200503088</t>
  </si>
  <si>
    <t>124200514675</t>
  </si>
  <si>
    <t>000333751</t>
  </si>
  <si>
    <t>88</t>
  </si>
  <si>
    <t>124200519627</t>
  </si>
  <si>
    <t>124200503089</t>
  </si>
  <si>
    <t>000333750</t>
  </si>
  <si>
    <t>89</t>
  </si>
  <si>
    <t>124200519741</t>
  </si>
  <si>
    <t>90</t>
  </si>
  <si>
    <t>124200518842</t>
  </si>
  <si>
    <t>124200505137</t>
  </si>
  <si>
    <t>000296303</t>
  </si>
  <si>
    <t>91</t>
  </si>
  <si>
    <t>124200514408</t>
  </si>
  <si>
    <t>94</t>
  </si>
  <si>
    <t>52</t>
  </si>
  <si>
    <t>124200505138</t>
  </si>
  <si>
    <t>000296304</t>
  </si>
  <si>
    <t>124200515379</t>
  </si>
  <si>
    <t>95</t>
  </si>
  <si>
    <t>267</t>
  </si>
  <si>
    <t>124200505139</t>
  </si>
  <si>
    <t>000287629</t>
  </si>
  <si>
    <t>124200592235</t>
  </si>
  <si>
    <t>000287518</t>
  </si>
  <si>
    <t>97</t>
  </si>
  <si>
    <t>124200592174</t>
  </si>
  <si>
    <t>99</t>
  </si>
  <si>
    <t>170</t>
  </si>
  <si>
    <t>124200505142</t>
  </si>
  <si>
    <t>000296301</t>
  </si>
  <si>
    <t>124200518902</t>
  </si>
  <si>
    <t>100</t>
  </si>
  <si>
    <t>124200541961</t>
  </si>
  <si>
    <t>164</t>
  </si>
  <si>
    <t>124200513777</t>
  </si>
  <si>
    <t>000274371</t>
  </si>
  <si>
    <t>102</t>
  </si>
  <si>
    <t>124200592866</t>
  </si>
  <si>
    <t>104</t>
  </si>
  <si>
    <t>124200516422</t>
  </si>
  <si>
    <t>292А</t>
  </si>
  <si>
    <t>124200513778</t>
  </si>
  <si>
    <t>000340467</t>
  </si>
  <si>
    <t>105</t>
  </si>
  <si>
    <t>124200514158</t>
  </si>
  <si>
    <t>106</t>
  </si>
  <si>
    <t>363</t>
  </si>
  <si>
    <t>124200513779</t>
  </si>
  <si>
    <t>000340468</t>
  </si>
  <si>
    <t>124200518712</t>
  </si>
  <si>
    <t>109</t>
  </si>
  <si>
    <t>124200515381</t>
  </si>
  <si>
    <t>282</t>
  </si>
  <si>
    <t>124200513780</t>
  </si>
  <si>
    <t>000165890</t>
  </si>
  <si>
    <t>150/5</t>
  </si>
  <si>
    <t>113</t>
  </si>
  <si>
    <t>124200514942</t>
  </si>
  <si>
    <t>188</t>
  </si>
  <si>
    <t>124200513781</t>
  </si>
  <si>
    <t>000274370</t>
  </si>
  <si>
    <t>122</t>
  </si>
  <si>
    <t>181</t>
  </si>
  <si>
    <t>124200513782</t>
  </si>
  <si>
    <t>000148976</t>
  </si>
  <si>
    <t>124200518710</t>
  </si>
  <si>
    <t>130</t>
  </si>
  <si>
    <t>124200592869</t>
  </si>
  <si>
    <t>160</t>
  </si>
  <si>
    <t>124200513783</t>
  </si>
  <si>
    <t>000327762</t>
  </si>
  <si>
    <t>131</t>
  </si>
  <si>
    <t>124200516658</t>
  </si>
  <si>
    <t>157</t>
  </si>
  <si>
    <t>124200513784</t>
  </si>
  <si>
    <t>000352997</t>
  </si>
  <si>
    <t>50</t>
  </si>
  <si>
    <t>124200513785</t>
  </si>
  <si>
    <t>000327761</t>
  </si>
  <si>
    <t>1000/5</t>
  </si>
  <si>
    <t>153</t>
  </si>
  <si>
    <t>124200519628</t>
  </si>
  <si>
    <t>199</t>
  </si>
  <si>
    <t>124200513786</t>
  </si>
  <si>
    <t>000330687</t>
  </si>
  <si>
    <t>166</t>
  </si>
  <si>
    <t>124200519748</t>
  </si>
  <si>
    <t>357</t>
  </si>
  <si>
    <t>124200513788</t>
  </si>
  <si>
    <t>000351527</t>
  </si>
  <si>
    <t>167</t>
  </si>
  <si>
    <t>124200518952</t>
  </si>
  <si>
    <t>54</t>
  </si>
  <si>
    <t>124200514120</t>
  </si>
  <si>
    <t>000327758</t>
  </si>
  <si>
    <t>171</t>
  </si>
  <si>
    <t>124200518900</t>
  </si>
  <si>
    <t>000284733</t>
  </si>
  <si>
    <t>179</t>
  </si>
  <si>
    <t>124200518711</t>
  </si>
  <si>
    <t>186</t>
  </si>
  <si>
    <t>124200516529</t>
  </si>
  <si>
    <t>000284731</t>
  </si>
  <si>
    <t>190</t>
  </si>
  <si>
    <t>124200518709</t>
  </si>
  <si>
    <t>264-1</t>
  </si>
  <si>
    <t>124200514157</t>
  </si>
  <si>
    <t>000284732</t>
  </si>
  <si>
    <t>219</t>
  </si>
  <si>
    <t>124200516420</t>
  </si>
  <si>
    <t>220</t>
  </si>
  <si>
    <t>124200515384</t>
  </si>
  <si>
    <t>000284734</t>
  </si>
  <si>
    <t>226</t>
  </si>
  <si>
    <t>124200519809</t>
  </si>
  <si>
    <t>000286587</t>
  </si>
  <si>
    <t>228</t>
  </si>
  <si>
    <t>124200516419</t>
  </si>
  <si>
    <t>257</t>
  </si>
  <si>
    <t>233</t>
  </si>
  <si>
    <t>124200514372</t>
  </si>
  <si>
    <t>000340472</t>
  </si>
  <si>
    <t>124200592170</t>
  </si>
  <si>
    <t>260</t>
  </si>
  <si>
    <t>124200519890</t>
  </si>
  <si>
    <t>269</t>
  </si>
  <si>
    <t>124200514373</t>
  </si>
  <si>
    <t>000284722</t>
  </si>
  <si>
    <t>261</t>
  </si>
  <si>
    <t>124200516528</t>
  </si>
  <si>
    <t>266</t>
  </si>
  <si>
    <t>124200519744</t>
  </si>
  <si>
    <t>141</t>
  </si>
  <si>
    <t>124200514375</t>
  </si>
  <si>
    <t>000286585</t>
  </si>
  <si>
    <t>000286701</t>
  </si>
  <si>
    <t>268</t>
  </si>
  <si>
    <t>124200518903</t>
  </si>
  <si>
    <t>000287517</t>
  </si>
  <si>
    <t>278</t>
  </si>
  <si>
    <t>124200519742</t>
  </si>
  <si>
    <t>258</t>
  </si>
  <si>
    <t>124200514410</t>
  </si>
  <si>
    <t>000284721</t>
  </si>
  <si>
    <t>281</t>
  </si>
  <si>
    <t>124200519746</t>
  </si>
  <si>
    <t>285</t>
  </si>
  <si>
    <t>124200516527</t>
  </si>
  <si>
    <t>124200514411</t>
  </si>
  <si>
    <t>000284610</t>
  </si>
  <si>
    <t>286</t>
  </si>
  <si>
    <t>124200520255</t>
  </si>
  <si>
    <t>000284609</t>
  </si>
  <si>
    <t>287</t>
  </si>
  <si>
    <t>124200516834</t>
  </si>
  <si>
    <t>288</t>
  </si>
  <si>
    <t>124200516833</t>
  </si>
  <si>
    <t>000319804</t>
  </si>
  <si>
    <t>292</t>
  </si>
  <si>
    <t>124200518953</t>
  </si>
  <si>
    <t>293</t>
  </si>
  <si>
    <t>124200518844</t>
  </si>
  <si>
    <t>125</t>
  </si>
  <si>
    <t>124200514672</t>
  </si>
  <si>
    <t>000340473</t>
  </si>
  <si>
    <t>294</t>
  </si>
  <si>
    <t>124200519888</t>
  </si>
  <si>
    <t>295</t>
  </si>
  <si>
    <t>124200518660</t>
  </si>
  <si>
    <t>000284728</t>
  </si>
  <si>
    <t>304</t>
  </si>
  <si>
    <t>124200519096</t>
  </si>
  <si>
    <t>305</t>
  </si>
  <si>
    <t>000319805</t>
  </si>
  <si>
    <t>124200519887</t>
  </si>
  <si>
    <t>306</t>
  </si>
  <si>
    <t>124200518840</t>
  </si>
  <si>
    <t>000197227</t>
  </si>
  <si>
    <t>183</t>
  </si>
  <si>
    <t>124200515065</t>
  </si>
  <si>
    <t>000340471</t>
  </si>
  <si>
    <t>60</t>
  </si>
  <si>
    <t>124200515361</t>
  </si>
  <si>
    <t>000340469</t>
  </si>
  <si>
    <t>312</t>
  </si>
  <si>
    <t>124200519885</t>
  </si>
  <si>
    <t>313</t>
  </si>
  <si>
    <t>124200589420</t>
  </si>
  <si>
    <t>180</t>
  </si>
  <si>
    <t>124200515362</t>
  </si>
  <si>
    <t>000347883</t>
  </si>
  <si>
    <t>315</t>
  </si>
  <si>
    <t>124200519886</t>
  </si>
  <si>
    <t>325</t>
  </si>
  <si>
    <t>124200519632</t>
  </si>
  <si>
    <t>59</t>
  </si>
  <si>
    <t>124200515363</t>
  </si>
  <si>
    <t>000148977</t>
  </si>
  <si>
    <t>331</t>
  </si>
  <si>
    <t>124200516836</t>
  </si>
  <si>
    <t>334</t>
  </si>
  <si>
    <t>200</t>
  </si>
  <si>
    <t>124200515364</t>
  </si>
  <si>
    <t>000274367</t>
  </si>
  <si>
    <t>124200515383</t>
  </si>
  <si>
    <t>336</t>
  </si>
  <si>
    <t>124200519093</t>
  </si>
  <si>
    <t>58</t>
  </si>
  <si>
    <t>124200515366</t>
  </si>
  <si>
    <t>000340476</t>
  </si>
  <si>
    <t>337</t>
  </si>
  <si>
    <t>124200519752</t>
  </si>
  <si>
    <t>000284723</t>
  </si>
  <si>
    <t>347</t>
  </si>
  <si>
    <t>124200516525</t>
  </si>
  <si>
    <t>348</t>
  </si>
  <si>
    <t>000284726</t>
  </si>
  <si>
    <t>124200516835</t>
  </si>
  <si>
    <t>354</t>
  </si>
  <si>
    <t>124200519081</t>
  </si>
  <si>
    <t>000284730</t>
  </si>
  <si>
    <t>800/5</t>
  </si>
  <si>
    <t>360</t>
  </si>
  <si>
    <t>124200519097</t>
  </si>
  <si>
    <t>000271743</t>
  </si>
  <si>
    <t>365</t>
  </si>
  <si>
    <t>124200592127</t>
  </si>
  <si>
    <t>372</t>
  </si>
  <si>
    <t>000284727</t>
  </si>
  <si>
    <t>250/5</t>
  </si>
  <si>
    <t>124200592868</t>
  </si>
  <si>
    <t>422</t>
  </si>
  <si>
    <t>124200581931</t>
  </si>
  <si>
    <t>000284729</t>
  </si>
  <si>
    <t>116A</t>
  </si>
  <si>
    <t>124200592867</t>
  </si>
  <si>
    <t>122A</t>
  </si>
  <si>
    <t>124200592169</t>
  </si>
  <si>
    <t>210</t>
  </si>
  <si>
    <t>124200515901</t>
  </si>
  <si>
    <t>000342447</t>
  </si>
  <si>
    <t>124A</t>
  </si>
  <si>
    <t>124200575010</t>
  </si>
  <si>
    <t>130-A</t>
  </si>
  <si>
    <t>124200578015</t>
  </si>
  <si>
    <t>213</t>
  </si>
  <si>
    <t>124200515903</t>
  </si>
  <si>
    <t>000342445</t>
  </si>
  <si>
    <t>131A</t>
  </si>
  <si>
    <t>124200594241</t>
  </si>
  <si>
    <t>134A</t>
  </si>
  <si>
    <t>124200578049</t>
  </si>
  <si>
    <t>69</t>
  </si>
  <si>
    <t>124200515904</t>
  </si>
  <si>
    <t>000342446</t>
  </si>
  <si>
    <t>150A</t>
  </si>
  <si>
    <t>124200594243</t>
  </si>
  <si>
    <t>153А</t>
  </si>
  <si>
    <t>000342444</t>
  </si>
  <si>
    <t>124200518843</t>
  </si>
  <si>
    <t>15A</t>
  </si>
  <si>
    <t>124200516831</t>
  </si>
  <si>
    <t>187</t>
  </si>
  <si>
    <t>124200515906</t>
  </si>
  <si>
    <t>000342448</t>
  </si>
  <si>
    <t>214</t>
  </si>
  <si>
    <t>124200516124</t>
  </si>
  <si>
    <t>000274364</t>
  </si>
  <si>
    <t>167/1</t>
  </si>
  <si>
    <t>124200594242</t>
  </si>
  <si>
    <t>167A</t>
  </si>
  <si>
    <t>223</t>
  </si>
  <si>
    <t>124200520253</t>
  </si>
  <si>
    <t>124200516125</t>
  </si>
  <si>
    <t>000278661</t>
  </si>
  <si>
    <t>179A</t>
  </si>
  <si>
    <t>222</t>
  </si>
  <si>
    <t>124200516127</t>
  </si>
  <si>
    <t>000276022</t>
  </si>
  <si>
    <t>124200578016</t>
  </si>
  <si>
    <t>1A</t>
  </si>
  <si>
    <t>124200592172</t>
  </si>
  <si>
    <t>226A</t>
  </si>
  <si>
    <t>000284725</t>
  </si>
  <si>
    <t>124200594244</t>
  </si>
  <si>
    <t>233A</t>
  </si>
  <si>
    <t>277</t>
  </si>
  <si>
    <t>124200516321</t>
  </si>
  <si>
    <t>000196860</t>
  </si>
  <si>
    <t>124200592865</t>
  </si>
  <si>
    <t>24A</t>
  </si>
  <si>
    <t>124200519087</t>
  </si>
  <si>
    <t>303</t>
  </si>
  <si>
    <t>124200516322</t>
  </si>
  <si>
    <t>000274360</t>
  </si>
  <si>
    <t>28A</t>
  </si>
  <si>
    <t>124200575009</t>
  </si>
  <si>
    <t>328</t>
  </si>
  <si>
    <t>124200516323</t>
  </si>
  <si>
    <t>29A</t>
  </si>
  <si>
    <t>000274359</t>
  </si>
  <si>
    <t>124200592173</t>
  </si>
  <si>
    <t>315A</t>
  </si>
  <si>
    <t>124200575095</t>
  </si>
  <si>
    <t>302</t>
  </si>
  <si>
    <t>124200516324</t>
  </si>
  <si>
    <t>000274358</t>
  </si>
  <si>
    <t>40A</t>
  </si>
  <si>
    <t>124200575097</t>
  </si>
  <si>
    <t>44А</t>
  </si>
  <si>
    <t>290</t>
  </si>
  <si>
    <t>124200516325</t>
  </si>
  <si>
    <t>124200519631</t>
  </si>
  <si>
    <t>000155941</t>
  </si>
  <si>
    <t>47А</t>
  </si>
  <si>
    <t>124200519090</t>
  </si>
  <si>
    <t>326</t>
  </si>
  <si>
    <t>124200516326</t>
  </si>
  <si>
    <t>66A</t>
  </si>
  <si>
    <t>000274357</t>
  </si>
  <si>
    <t>124200575096</t>
  </si>
  <si>
    <t>76A</t>
  </si>
  <si>
    <t>124200519743</t>
  </si>
  <si>
    <t>000358235</t>
  </si>
  <si>
    <t>76B</t>
  </si>
  <si>
    <t>124200578018</t>
  </si>
  <si>
    <t>217</t>
  </si>
  <si>
    <t>124200516334</t>
  </si>
  <si>
    <t>000278664</t>
  </si>
  <si>
    <t>83A</t>
  </si>
  <si>
    <t>124200594240</t>
  </si>
  <si>
    <t>000278663</t>
  </si>
  <si>
    <t>48</t>
  </si>
  <si>
    <t>124200516336</t>
  </si>
  <si>
    <t>000274356</t>
  </si>
  <si>
    <t>128</t>
  </si>
  <si>
    <t>124200516337</t>
  </si>
  <si>
    <t>000274355</t>
  </si>
  <si>
    <t>117</t>
  </si>
  <si>
    <t>124200516338</t>
  </si>
  <si>
    <t>000274354</t>
  </si>
  <si>
    <t>279</t>
  </si>
  <si>
    <t>124200516417</t>
  </si>
  <si>
    <t>000274353</t>
  </si>
  <si>
    <t>000188180</t>
  </si>
  <si>
    <t>000180154</t>
  </si>
  <si>
    <t>000173996</t>
  </si>
  <si>
    <t>000274350</t>
  </si>
  <si>
    <t>000319857</t>
  </si>
  <si>
    <t>000274348</t>
  </si>
  <si>
    <t>000274347</t>
  </si>
  <si>
    <t>000342451</t>
  </si>
  <si>
    <t>165</t>
  </si>
  <si>
    <t>124200516530</t>
  </si>
  <si>
    <t>000342449</t>
  </si>
  <si>
    <t>000188767</t>
  </si>
  <si>
    <t>000149917</t>
  </si>
  <si>
    <t>324</t>
  </si>
  <si>
    <t>124200516659</t>
  </si>
  <si>
    <t>000183448</t>
  </si>
  <si>
    <t>298</t>
  </si>
  <si>
    <t>124200516660</t>
  </si>
  <si>
    <t>000267774</t>
  </si>
  <si>
    <t>215</t>
  </si>
  <si>
    <t>124200516661</t>
  </si>
  <si>
    <t>000274346</t>
  </si>
  <si>
    <t>136</t>
  </si>
  <si>
    <t>124200516662</t>
  </si>
  <si>
    <t>000155948</t>
  </si>
  <si>
    <t>000359332</t>
  </si>
  <si>
    <t>332</t>
  </si>
  <si>
    <t>124200516832</t>
  </si>
  <si>
    <t>000183993</t>
  </si>
  <si>
    <t>000274486</t>
  </si>
  <si>
    <t>000359639</t>
  </si>
  <si>
    <t>000274342</t>
  </si>
  <si>
    <t>000319894</t>
  </si>
  <si>
    <t>000169794</t>
  </si>
  <si>
    <t>000296300</t>
  </si>
  <si>
    <t>264</t>
  </si>
  <si>
    <t>124200518708</t>
  </si>
  <si>
    <t>000150267</t>
  </si>
  <si>
    <t>000150015</t>
  </si>
  <si>
    <t>000195769</t>
  </si>
  <si>
    <t>000151885</t>
  </si>
  <si>
    <t>000263935</t>
  </si>
  <si>
    <t>273</t>
  </si>
  <si>
    <t>124200518713</t>
  </si>
  <si>
    <t>000274340</t>
  </si>
  <si>
    <t>341</t>
  </si>
  <si>
    <t>124200518749</t>
  </si>
  <si>
    <t>000197311</t>
  </si>
  <si>
    <t>000274484</t>
  </si>
  <si>
    <t>000320031</t>
  </si>
  <si>
    <t>000274313</t>
  </si>
  <si>
    <t>000274312</t>
  </si>
  <si>
    <t>000271186</t>
  </si>
  <si>
    <t>156</t>
  </si>
  <si>
    <t>124200518845</t>
  </si>
  <si>
    <t>000274481</t>
  </si>
  <si>
    <t>000281106</t>
  </si>
  <si>
    <t>138</t>
  </si>
  <si>
    <t>124200518901</t>
  </si>
  <si>
    <t>000281105</t>
  </si>
  <si>
    <t>000284724</t>
  </si>
  <si>
    <t>000281104</t>
  </si>
  <si>
    <t>280</t>
  </si>
  <si>
    <t>124200518904</t>
  </si>
  <si>
    <t>000278814</t>
  </si>
  <si>
    <t>362</t>
  </si>
  <si>
    <t>124200518905</t>
  </si>
  <si>
    <t>000278662</t>
  </si>
  <si>
    <t>203</t>
  </si>
  <si>
    <t>124200518948</t>
  </si>
  <si>
    <t>000165897</t>
  </si>
  <si>
    <t>224</t>
  </si>
  <si>
    <t>124200518949</t>
  </si>
  <si>
    <t>000274311</t>
  </si>
  <si>
    <t>329</t>
  </si>
  <si>
    <t>124200518950</t>
  </si>
  <si>
    <t>000178163</t>
  </si>
  <si>
    <t>000274487</t>
  </si>
  <si>
    <t>000274310</t>
  </si>
  <si>
    <t>000274488</t>
  </si>
  <si>
    <t>000277731</t>
  </si>
  <si>
    <t>208</t>
  </si>
  <si>
    <t>124200519082</t>
  </si>
  <si>
    <t>000299479</t>
  </si>
  <si>
    <t>194</t>
  </si>
  <si>
    <t>124200519083</t>
  </si>
  <si>
    <t>000277589</t>
  </si>
  <si>
    <t>152</t>
  </si>
  <si>
    <t>124200519084</t>
  </si>
  <si>
    <t>000277588</t>
  </si>
  <si>
    <t>151</t>
  </si>
  <si>
    <t>124200519085</t>
  </si>
  <si>
    <t>000277826</t>
  </si>
  <si>
    <t>192</t>
  </si>
  <si>
    <t>124200519086</t>
  </si>
  <si>
    <t>000277587</t>
  </si>
  <si>
    <t>000364559</t>
  </si>
  <si>
    <t>62</t>
  </si>
  <si>
    <t>124200519088</t>
  </si>
  <si>
    <t>000277745</t>
  </si>
  <si>
    <t>000271919</t>
  </si>
  <si>
    <t>272</t>
  </si>
  <si>
    <t>124200519091</t>
  </si>
  <si>
    <t>000271888</t>
  </si>
  <si>
    <t>68</t>
  </si>
  <si>
    <t>124200519092</t>
  </si>
  <si>
    <t>000271934</t>
  </si>
  <si>
    <t>000271914</t>
  </si>
  <si>
    <t>321</t>
  </si>
  <si>
    <t>124200519094</t>
  </si>
  <si>
    <t>000277727</t>
  </si>
  <si>
    <t>000271917</t>
  </si>
  <si>
    <t>000271897</t>
  </si>
  <si>
    <t>284</t>
  </si>
  <si>
    <t>124200519105</t>
  </si>
  <si>
    <t>000277743</t>
  </si>
  <si>
    <t>291</t>
  </si>
  <si>
    <t>124200519106</t>
  </si>
  <si>
    <t>000342468</t>
  </si>
  <si>
    <t>310</t>
  </si>
  <si>
    <t>124200519108</t>
  </si>
  <si>
    <t>000277742</t>
  </si>
  <si>
    <t>327</t>
  </si>
  <si>
    <t>124200519110</t>
  </si>
  <si>
    <t>000277741</t>
  </si>
  <si>
    <t>144</t>
  </si>
  <si>
    <t>124200519300</t>
  </si>
  <si>
    <t>000327759</t>
  </si>
  <si>
    <t>209</t>
  </si>
  <si>
    <t>124200519301</t>
  </si>
  <si>
    <t>000342450</t>
  </si>
  <si>
    <t>000342456</t>
  </si>
  <si>
    <t>58А</t>
  </si>
  <si>
    <t>124200519497</t>
  </si>
  <si>
    <t>000277799</t>
  </si>
  <si>
    <t>55</t>
  </si>
  <si>
    <t>124200519498</t>
  </si>
  <si>
    <t>000277838</t>
  </si>
  <si>
    <t>124200519500</t>
  </si>
  <si>
    <t>000277840</t>
  </si>
  <si>
    <t>000277739</t>
  </si>
  <si>
    <t>000277738</t>
  </si>
  <si>
    <t>112</t>
  </si>
  <si>
    <t>124200519629</t>
  </si>
  <si>
    <t>000299558</t>
  </si>
  <si>
    <t>175</t>
  </si>
  <si>
    <t>124200519630</t>
  </si>
  <si>
    <t>000333748</t>
  </si>
  <si>
    <t>000299559</t>
  </si>
  <si>
    <t>000335594</t>
  </si>
  <si>
    <t>000299589</t>
  </si>
  <si>
    <t>000299590</t>
  </si>
  <si>
    <t>000299591</t>
  </si>
  <si>
    <t>000299592</t>
  </si>
  <si>
    <t>000299593</t>
  </si>
  <si>
    <t>000299594</t>
  </si>
  <si>
    <t>000299595</t>
  </si>
  <si>
    <t>000352649</t>
  </si>
  <si>
    <t>000342391</t>
  </si>
  <si>
    <t>197</t>
  </si>
  <si>
    <t>124200519750</t>
  </si>
  <si>
    <t>000271920</t>
  </si>
  <si>
    <t>000372024</t>
  </si>
  <si>
    <t>251</t>
  </si>
  <si>
    <t>124200519766</t>
  </si>
  <si>
    <t>000330698</t>
  </si>
  <si>
    <t>205</t>
  </si>
  <si>
    <t>124200519767</t>
  </si>
  <si>
    <t>000379732</t>
  </si>
  <si>
    <t>61</t>
  </si>
  <si>
    <t>124200519770</t>
  </si>
  <si>
    <t>000277735</t>
  </si>
  <si>
    <t>000299609</t>
  </si>
  <si>
    <t>000271902</t>
  </si>
  <si>
    <t>000271889</t>
  </si>
  <si>
    <t>000271894</t>
  </si>
  <si>
    <t>000277733</t>
  </si>
  <si>
    <t>000277804</t>
  </si>
  <si>
    <t>000277732</t>
  </si>
  <si>
    <t>274</t>
  </si>
  <si>
    <t>124200520251</t>
  </si>
  <si>
    <t>000271185</t>
  </si>
  <si>
    <t>000176882</t>
  </si>
  <si>
    <t>000167530</t>
  </si>
  <si>
    <t>358</t>
  </si>
  <si>
    <t>124200520254</t>
  </si>
  <si>
    <t>000189122</t>
  </si>
  <si>
    <t>000154221</t>
  </si>
  <si>
    <t>000193136</t>
  </si>
  <si>
    <t>64</t>
  </si>
  <si>
    <t>124200525904</t>
  </si>
  <si>
    <t>000342455</t>
  </si>
  <si>
    <t>000343098</t>
  </si>
  <si>
    <t>135</t>
  </si>
  <si>
    <t>124200525929</t>
  </si>
  <si>
    <t>000333749</t>
  </si>
  <si>
    <t>176</t>
  </si>
  <si>
    <t>124200525931</t>
  </si>
  <si>
    <t>000286698</t>
  </si>
  <si>
    <t>124200525932</t>
  </si>
  <si>
    <t>000278815</t>
  </si>
  <si>
    <t>206</t>
  </si>
  <si>
    <t>124200525933</t>
  </si>
  <si>
    <t>000330784</t>
  </si>
  <si>
    <t>204</t>
  </si>
  <si>
    <t>124200541679</t>
  </si>
  <si>
    <t>000302866</t>
  </si>
  <si>
    <t>174</t>
  </si>
  <si>
    <t>124200541680</t>
  </si>
  <si>
    <t>000302868</t>
  </si>
  <si>
    <t>333</t>
  </si>
  <si>
    <t>124200541960</t>
  </si>
  <si>
    <t>000302867</t>
  </si>
  <si>
    <t>000333753</t>
  </si>
  <si>
    <t>55A</t>
  </si>
  <si>
    <t>124200572748</t>
  </si>
  <si>
    <t>000360594</t>
  </si>
  <si>
    <t>000360592</t>
  </si>
  <si>
    <t>199A</t>
  </si>
  <si>
    <t>124200574907</t>
  </si>
  <si>
    <t>000360088</t>
  </si>
  <si>
    <t>147</t>
  </si>
  <si>
    <t>124200574908</t>
  </si>
  <si>
    <t>000286699</t>
  </si>
  <si>
    <t>387</t>
  </si>
  <si>
    <t>124200574909</t>
  </si>
  <si>
    <t>000360087</t>
  </si>
  <si>
    <t>385</t>
  </si>
  <si>
    <t>124200574910</t>
  </si>
  <si>
    <t>000360086</t>
  </si>
  <si>
    <t>000287632</t>
  </si>
  <si>
    <t>000286586</t>
  </si>
  <si>
    <t>000342454</t>
  </si>
  <si>
    <t>364</t>
  </si>
  <si>
    <t>124200574987</t>
  </si>
  <si>
    <t>000271938</t>
  </si>
  <si>
    <t>000360090</t>
  </si>
  <si>
    <t>000360089</t>
  </si>
  <si>
    <t>124200575011</t>
  </si>
  <si>
    <t>000340477</t>
  </si>
  <si>
    <t>264A</t>
  </si>
  <si>
    <t>124200575012</t>
  </si>
  <si>
    <t>000360091</t>
  </si>
  <si>
    <t>000296299</t>
  </si>
  <si>
    <t>139</t>
  </si>
  <si>
    <t>124200575014</t>
  </si>
  <si>
    <t>000327760</t>
  </si>
  <si>
    <t>229</t>
  </si>
  <si>
    <t>124200575093</t>
  </si>
  <si>
    <t>000340470</t>
  </si>
  <si>
    <t>386</t>
  </si>
  <si>
    <t>124200575094</t>
  </si>
  <si>
    <t>000360085</t>
  </si>
  <si>
    <t>000360059</t>
  </si>
  <si>
    <t>000359942</t>
  </si>
  <si>
    <t>600/5</t>
  </si>
  <si>
    <t>000370466</t>
  </si>
  <si>
    <t>124200575098</t>
  </si>
  <si>
    <t>000333747</t>
  </si>
  <si>
    <t>330</t>
  </si>
  <si>
    <t>124200578014</t>
  </si>
  <si>
    <t>000382752</t>
  </si>
  <si>
    <t>000358234</t>
  </si>
  <si>
    <t>000379731</t>
  </si>
  <si>
    <t>361</t>
  </si>
  <si>
    <t>124200578017</t>
  </si>
  <si>
    <t>000379725</t>
  </si>
  <si>
    <t>000378426</t>
  </si>
  <si>
    <t>62A</t>
  </si>
  <si>
    <t>124200578019</t>
  </si>
  <si>
    <t>000360511</t>
  </si>
  <si>
    <t>188A</t>
  </si>
  <si>
    <t>124200578044</t>
  </si>
  <si>
    <t>000377202</t>
  </si>
  <si>
    <t>57A</t>
  </si>
  <si>
    <t>124200578045</t>
  </si>
  <si>
    <t>000377203</t>
  </si>
  <si>
    <t>366</t>
  </si>
  <si>
    <t>124200578046</t>
  </si>
  <si>
    <t>000379730</t>
  </si>
  <si>
    <t>000377220</t>
  </si>
  <si>
    <t>71</t>
  </si>
  <si>
    <t>124200578048</t>
  </si>
  <si>
    <t>000377221</t>
  </si>
  <si>
    <t>000377204</t>
  </si>
  <si>
    <t>371</t>
  </si>
  <si>
    <t>124200578104</t>
  </si>
  <si>
    <t>000378427</t>
  </si>
  <si>
    <t>214A</t>
  </si>
  <si>
    <t>124200578105</t>
  </si>
  <si>
    <t>000377894</t>
  </si>
  <si>
    <t>387A</t>
  </si>
  <si>
    <t>124200578106</t>
  </si>
  <si>
    <t>000377892</t>
  </si>
  <si>
    <t>65A</t>
  </si>
  <si>
    <t>124200578107</t>
  </si>
  <si>
    <t>000377891</t>
  </si>
  <si>
    <t>138A</t>
  </si>
  <si>
    <t>124200578108</t>
  </si>
  <si>
    <t>000378322</t>
  </si>
  <si>
    <t>355</t>
  </si>
  <si>
    <t>124200578109</t>
  </si>
  <si>
    <t>000378174</t>
  </si>
  <si>
    <t>423</t>
  </si>
  <si>
    <t>124200581929</t>
  </si>
  <si>
    <t>000391090</t>
  </si>
  <si>
    <t>000389085</t>
  </si>
  <si>
    <t>000382751</t>
  </si>
  <si>
    <t>000371795</t>
  </si>
  <si>
    <t>000370484</t>
  </si>
  <si>
    <t>000372066</t>
  </si>
  <si>
    <t>163</t>
  </si>
  <si>
    <t>124200592171</t>
  </si>
  <si>
    <t>000373259</t>
  </si>
  <si>
    <t>000370485</t>
  </si>
  <si>
    <t>000370486</t>
  </si>
  <si>
    <t>000370487</t>
  </si>
  <si>
    <t>000371812</t>
  </si>
  <si>
    <t>125-A</t>
  </si>
  <si>
    <t>124200592236</t>
  </si>
  <si>
    <t>000371813</t>
  </si>
  <si>
    <t>373</t>
  </si>
  <si>
    <t>124200592237</t>
  </si>
  <si>
    <t>000372088</t>
  </si>
  <si>
    <t>000371811</t>
  </si>
  <si>
    <t>193A</t>
  </si>
  <si>
    <t>124200592239</t>
  </si>
  <si>
    <t>000372058</t>
  </si>
  <si>
    <t>49</t>
  </si>
  <si>
    <t>124200592240</t>
  </si>
  <si>
    <t>000372102</t>
  </si>
  <si>
    <t>358A</t>
  </si>
  <si>
    <t>124200592848</t>
  </si>
  <si>
    <t>000372537</t>
  </si>
  <si>
    <t>318</t>
  </si>
  <si>
    <t>124200592849</t>
  </si>
  <si>
    <t>000372080</t>
  </si>
  <si>
    <t>160A</t>
  </si>
  <si>
    <t>124200592850</t>
  </si>
  <si>
    <t>000371796</t>
  </si>
  <si>
    <t>355А</t>
  </si>
  <si>
    <t>124200592851</t>
  </si>
  <si>
    <t>000371794</t>
  </si>
  <si>
    <t>000372067</t>
  </si>
  <si>
    <t>000372022</t>
  </si>
  <si>
    <t>000372038</t>
  </si>
  <si>
    <t>000372087</t>
  </si>
  <si>
    <t>000372042</t>
  </si>
  <si>
    <t>000372137</t>
  </si>
  <si>
    <t>000370543</t>
  </si>
  <si>
    <t>000370544</t>
  </si>
  <si>
    <t>000370545</t>
  </si>
  <si>
    <t>000370546</t>
  </si>
  <si>
    <t>000370547</t>
  </si>
  <si>
    <t>000370548</t>
  </si>
  <si>
    <t>263</t>
  </si>
  <si>
    <t>124200594563</t>
  </si>
  <si>
    <t>000372598</t>
  </si>
  <si>
    <t>258A</t>
  </si>
  <si>
    <t>124200594564</t>
  </si>
  <si>
    <t>000372072</t>
  </si>
  <si>
    <t>350</t>
  </si>
  <si>
    <t>124200594565</t>
  </si>
  <si>
    <t>000373278</t>
  </si>
  <si>
    <t>54A</t>
  </si>
  <si>
    <t>124200594566</t>
  </si>
  <si>
    <t>000372599</t>
  </si>
  <si>
    <t>275</t>
  </si>
  <si>
    <t>124200594567</t>
  </si>
  <si>
    <t>000373279</t>
  </si>
  <si>
    <t>74A</t>
  </si>
  <si>
    <t>124200594568</t>
  </si>
  <si>
    <t>000372600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</si>
</sst>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\ hh:mm:ss"/>
    <numFmt numFmtId="165" formatCode="dd\.mm\.yyyy"/>
    <numFmt numFmtId="166" formatCode="yyyy/mm/dd"/>
    <numFmt numFmtId="167" formatCode="#0.000"/>
  </numFmts>
  <fonts count="10">
    <font>
      <sz val="11.0"/>
      <color rgb="FF000000"/>
      <name val="Calibri"/>
      <scheme val="minor"/>
    </font>
    <font>
      <sz val="9.0"/>
      <color theme="1"/>
      <name val="Arial"/>
    </font>
    <font>
      <sz val="19.0"/>
      <color theme="1"/>
      <name val="Microsoft Yahei"/>
    </font>
    <font>
      <sz val="9.0"/>
      <color theme="1"/>
      <name val="Microsoft Yahei"/>
    </font>
    <font>
      <sz val="11.0"/>
      <color rgb="FF000000"/>
      <name val="Calibri"/>
    </font>
    <font>
      <sz val="9.0"/>
      <color theme="1"/>
      <name val="SimSun"/>
    </font>
    <font>
      <color theme="1"/>
      <name val="Calibri"/>
      <scheme val="minor"/>
    </font>
    <font>
      <b/>
      <sz val="9.0"/>
      <color theme="1"/>
      <name val="Microsoft Yahei"/>
    </font>
    <font>
      <b/>
      <sz val="9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6F6F6"/>
        <bgColor rgb="FFF6F6F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3" numFmtId="164" xfId="0" applyAlignment="1" applyFont="1" applyNumberFormat="1">
      <alignment horizontal="left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5" fillId="0" fontId="9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6" fillId="0" fontId="8" numFmtId="165" xfId="0" applyAlignment="1" applyBorder="1" applyFont="1" applyNumberForma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8" fillId="0" fontId="8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167" xfId="0" applyAlignment="1" applyBorder="1" applyFont="1" applyNumberFormat="1">
      <alignment horizontal="right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3" numFmtId="167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167" xfId="0" applyAlignment="1" applyBorder="1" applyFont="1" applyNumberFormat="1">
      <alignment horizontal="center" shrinkToFit="0" vertical="center" wrapText="1"/>
    </xf>
    <xf borderId="6" fillId="0" fontId="3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29"/>
    <col customWidth="1" min="3" max="3" width="9.0"/>
    <col customWidth="1" min="4" max="4" width="33.43"/>
    <col customWidth="1" min="5" max="5" width="19.57"/>
    <col customWidth="1" min="6" max="6" width="21.29"/>
    <col customWidth="1" min="7" max="7" width="21.71"/>
    <col customWidth="1" min="8" max="8" width="18.86"/>
    <col customWidth="1" min="9" max="9" width="17.0"/>
    <col customWidth="1" min="10" max="10" width="14.71"/>
    <col customWidth="1" min="11" max="12" width="15.57"/>
    <col customWidth="1" min="13" max="14" width="15.0"/>
    <col customWidth="1" hidden="1" min="15" max="15" width="12.0"/>
    <col customWidth="1" hidden="1" min="16" max="16" width="10.71"/>
    <col customWidth="1" hidden="1" min="17" max="17" width="11.57"/>
    <col customWidth="1" hidden="1" min="18" max="18" width="10.57"/>
    <col customWidth="1" hidden="1" min="19" max="20" width="9.71"/>
  </cols>
  <sheetData>
    <row r="1" ht="22.5" customHeight="1">
      <c r="A1" s="1"/>
      <c r="C1" s="1"/>
      <c r="D1" s="1"/>
      <c r="E1" s="1"/>
      <c r="F1" s="1"/>
      <c r="G1" s="1"/>
      <c r="H1" s="5"/>
      <c r="I1" s="5"/>
      <c r="J1" s="5"/>
      <c r="K1" s="7"/>
      <c r="L1" s="7"/>
      <c r="M1" s="7"/>
      <c r="N1" s="7"/>
      <c r="O1" s="1"/>
      <c r="P1" s="9"/>
      <c r="Q1" s="10"/>
      <c r="R1" s="9"/>
      <c r="S1" s="11"/>
      <c r="T1" s="11"/>
    </row>
    <row r="2" ht="22.5" customHeight="1">
      <c r="A2" s="14" t="s">
        <v>9</v>
      </c>
      <c r="B2" s="14" t="s">
        <v>11</v>
      </c>
      <c r="C2" s="14" t="s">
        <v>13</v>
      </c>
      <c r="D2" s="15" t="s">
        <v>16</v>
      </c>
      <c r="E2" s="16" t="s">
        <v>19</v>
      </c>
      <c r="F2" s="17"/>
      <c r="G2" s="18"/>
      <c r="H2" s="19" t="s">
        <v>25</v>
      </c>
      <c r="I2" s="19" t="s">
        <v>28</v>
      </c>
      <c r="J2" s="19" t="s">
        <v>29</v>
      </c>
      <c r="K2" s="14" t="s">
        <v>30</v>
      </c>
      <c r="L2" s="14" t="s">
        <v>32</v>
      </c>
      <c r="M2" s="20" t="s">
        <v>34</v>
      </c>
      <c r="N2" s="20" t="s">
        <v>36</v>
      </c>
      <c r="O2" s="14"/>
      <c r="P2" s="14"/>
      <c r="Q2" s="14"/>
      <c r="R2" s="14"/>
      <c r="S2" s="14" t="s">
        <v>41</v>
      </c>
      <c r="T2" s="14" t="s">
        <v>43</v>
      </c>
    </row>
    <row r="3" ht="35.25" customHeight="1">
      <c r="A3" s="14"/>
      <c r="B3" s="14"/>
      <c r="C3" s="14"/>
      <c r="D3" s="21"/>
      <c r="E3" s="14" t="s">
        <v>49</v>
      </c>
      <c r="F3" s="14" t="s">
        <v>51</v>
      </c>
      <c r="G3" s="14" t="s">
        <v>53</v>
      </c>
      <c r="H3" s="19"/>
      <c r="I3" s="19"/>
      <c r="J3" s="19"/>
      <c r="K3" s="14"/>
      <c r="L3" s="14"/>
      <c r="M3" s="22"/>
      <c r="N3" s="22"/>
      <c r="O3" s="14" t="s">
        <v>60</v>
      </c>
      <c r="P3" s="14" t="s">
        <v>62</v>
      </c>
      <c r="Q3" s="14" t="s">
        <v>63</v>
      </c>
      <c r="R3" s="14" t="s">
        <v>64</v>
      </c>
      <c r="S3" s="14"/>
      <c r="T3" s="14"/>
    </row>
    <row r="4" ht="22.5" customHeight="1">
      <c r="A4" s="25">
        <v>1.0</v>
      </c>
      <c r="B4" s="25" t="s">
        <v>2</v>
      </c>
      <c r="C4" s="25" t="s">
        <v>66</v>
      </c>
      <c r="D4" s="25" t="s">
        <v>68</v>
      </c>
      <c r="E4" s="25">
        <v>64.0</v>
      </c>
      <c r="F4" s="25">
        <v>63.0</v>
      </c>
      <c r="G4" s="25">
        <v>1.0</v>
      </c>
      <c r="H4" s="25" t="s">
        <v>71</v>
      </c>
      <c r="I4" s="25" t="s">
        <v>73</v>
      </c>
      <c r="J4" s="25">
        <v>60.0</v>
      </c>
      <c r="K4" s="28">
        <v>10376.34</v>
      </c>
      <c r="L4" s="29">
        <v>10241.46</v>
      </c>
      <c r="M4" s="29">
        <f t="shared" ref="M4:M146" si="1">+K4-L4</f>
        <v>134.88</v>
      </c>
      <c r="N4" s="29">
        <f t="shared" ref="N4:N146" si="2">+M4*J4</f>
        <v>8092.8</v>
      </c>
      <c r="O4" s="28">
        <v>2214.1</v>
      </c>
      <c r="P4" s="28">
        <v>3492.04</v>
      </c>
      <c r="Q4" s="28">
        <v>2841.67</v>
      </c>
      <c r="R4" s="28">
        <v>1828.5</v>
      </c>
      <c r="S4" s="28">
        <v>8780.56</v>
      </c>
      <c r="T4" s="28">
        <v>2927.41</v>
      </c>
    </row>
    <row r="5" ht="22.5" customHeight="1">
      <c r="A5" s="25">
        <v>2.0</v>
      </c>
      <c r="B5" s="25" t="s">
        <v>2</v>
      </c>
      <c r="C5" s="25" t="s">
        <v>75</v>
      </c>
      <c r="D5" s="25" t="s">
        <v>76</v>
      </c>
      <c r="E5" s="25">
        <v>16.0</v>
      </c>
      <c r="F5" s="25">
        <v>15.0</v>
      </c>
      <c r="G5" s="25">
        <v>1.0</v>
      </c>
      <c r="H5" s="25" t="s">
        <v>71</v>
      </c>
      <c r="I5" s="25" t="s">
        <v>78</v>
      </c>
      <c r="J5" s="25">
        <v>60.0</v>
      </c>
      <c r="K5" s="28">
        <v>1071.35</v>
      </c>
      <c r="L5" s="29">
        <v>1001.46</v>
      </c>
      <c r="M5" s="29">
        <f t="shared" si="1"/>
        <v>69.89</v>
      </c>
      <c r="N5" s="29">
        <f t="shared" si="2"/>
        <v>4193.4</v>
      </c>
      <c r="O5" s="28">
        <v>208.59</v>
      </c>
      <c r="P5" s="28">
        <v>367.69</v>
      </c>
      <c r="Q5" s="28">
        <v>494.99</v>
      </c>
      <c r="R5" s="28">
        <v>0.06</v>
      </c>
      <c r="S5" s="28">
        <v>291.1</v>
      </c>
      <c r="T5" s="28">
        <v>1.87</v>
      </c>
    </row>
    <row r="6" ht="22.5" customHeight="1">
      <c r="A6" s="25">
        <v>3.0</v>
      </c>
      <c r="B6" s="25" t="s">
        <v>2</v>
      </c>
      <c r="C6" s="25" t="s">
        <v>82</v>
      </c>
      <c r="D6" s="25" t="s">
        <v>83</v>
      </c>
      <c r="E6" s="25">
        <v>110.0</v>
      </c>
      <c r="F6" s="25">
        <v>106.0</v>
      </c>
      <c r="G6" s="25">
        <v>4.0</v>
      </c>
      <c r="H6" s="25" t="s">
        <v>71</v>
      </c>
      <c r="I6" s="25" t="s">
        <v>84</v>
      </c>
      <c r="J6" s="25">
        <v>60.0</v>
      </c>
      <c r="K6" s="28">
        <v>7330.6</v>
      </c>
      <c r="L6" s="29">
        <v>7187.36</v>
      </c>
      <c r="M6" s="29">
        <f t="shared" si="1"/>
        <v>143.24</v>
      </c>
      <c r="N6" s="29">
        <f t="shared" si="2"/>
        <v>8594.4</v>
      </c>
      <c r="O6" s="28">
        <v>1179.74</v>
      </c>
      <c r="P6" s="28">
        <v>2348.11</v>
      </c>
      <c r="Q6" s="28">
        <v>1974.45</v>
      </c>
      <c r="R6" s="28">
        <v>1828.27</v>
      </c>
      <c r="S6" s="28">
        <v>965.15</v>
      </c>
      <c r="T6" s="28">
        <v>228.29</v>
      </c>
    </row>
    <row r="7" ht="22.5" customHeight="1">
      <c r="A7" s="25">
        <v>4.0</v>
      </c>
      <c r="B7" s="25" t="s">
        <v>2</v>
      </c>
      <c r="C7" s="25" t="s">
        <v>85</v>
      </c>
      <c r="D7" s="25" t="s">
        <v>86</v>
      </c>
      <c r="E7" s="25">
        <v>11.0</v>
      </c>
      <c r="F7" s="25">
        <v>10.0</v>
      </c>
      <c r="G7" s="25">
        <v>1.0</v>
      </c>
      <c r="H7" s="25" t="s">
        <v>71</v>
      </c>
      <c r="I7" s="25" t="s">
        <v>87</v>
      </c>
      <c r="J7" s="25">
        <v>60.0</v>
      </c>
      <c r="K7" s="28">
        <v>6212.73</v>
      </c>
      <c r="L7" s="29">
        <v>6093.07</v>
      </c>
      <c r="M7" s="29">
        <f t="shared" si="1"/>
        <v>119.66</v>
      </c>
      <c r="N7" s="29">
        <f t="shared" si="2"/>
        <v>7179.6</v>
      </c>
      <c r="O7" s="28">
        <v>1453.29</v>
      </c>
      <c r="P7" s="28">
        <v>1991.05</v>
      </c>
      <c r="Q7" s="28">
        <v>1566.07</v>
      </c>
      <c r="R7" s="28">
        <v>1202.29</v>
      </c>
      <c r="S7" s="28">
        <v>2495.35</v>
      </c>
      <c r="T7" s="28">
        <v>526.81</v>
      </c>
    </row>
    <row r="8" ht="22.5" customHeight="1">
      <c r="A8" s="25">
        <v>5.0</v>
      </c>
      <c r="B8" s="25" t="s">
        <v>2</v>
      </c>
      <c r="C8" s="25" t="s">
        <v>91</v>
      </c>
      <c r="D8" s="25" t="s">
        <v>92</v>
      </c>
      <c r="E8" s="25">
        <v>93.0</v>
      </c>
      <c r="F8" s="25">
        <v>91.0</v>
      </c>
      <c r="G8" s="25">
        <v>2.0</v>
      </c>
      <c r="H8" s="25" t="s">
        <v>71</v>
      </c>
      <c r="I8" s="25" t="s">
        <v>93</v>
      </c>
      <c r="J8" s="25">
        <v>40.0</v>
      </c>
      <c r="K8" s="28">
        <v>335.42</v>
      </c>
      <c r="L8" s="29">
        <v>267.72</v>
      </c>
      <c r="M8" s="29">
        <f t="shared" si="1"/>
        <v>67.7</v>
      </c>
      <c r="N8" s="29">
        <f t="shared" si="2"/>
        <v>2708</v>
      </c>
      <c r="O8" s="28">
        <v>3.87</v>
      </c>
      <c r="P8" s="28">
        <v>109.53</v>
      </c>
      <c r="Q8" s="28">
        <v>221.99</v>
      </c>
      <c r="R8" s="28">
        <v>0.0</v>
      </c>
      <c r="S8" s="28">
        <v>261.96</v>
      </c>
      <c r="T8" s="28">
        <v>5.84</v>
      </c>
    </row>
    <row r="9" ht="22.5" customHeight="1">
      <c r="A9" s="25">
        <v>6.0</v>
      </c>
      <c r="B9" s="25" t="s">
        <v>2</v>
      </c>
      <c r="C9" s="25" t="s">
        <v>94</v>
      </c>
      <c r="D9" s="25" t="s">
        <v>76</v>
      </c>
      <c r="E9" s="25">
        <v>107.0</v>
      </c>
      <c r="F9" s="25">
        <v>105.0</v>
      </c>
      <c r="G9" s="25">
        <v>2.0</v>
      </c>
      <c r="H9" s="25" t="s">
        <v>71</v>
      </c>
      <c r="I9" s="25" t="s">
        <v>95</v>
      </c>
      <c r="J9" s="25">
        <v>40.0</v>
      </c>
      <c r="K9" s="28">
        <v>8240.11</v>
      </c>
      <c r="L9" s="29">
        <v>8109.36</v>
      </c>
      <c r="M9" s="29">
        <f t="shared" si="1"/>
        <v>130.75</v>
      </c>
      <c r="N9" s="29">
        <f t="shared" si="2"/>
        <v>5230</v>
      </c>
      <c r="O9" s="28">
        <v>1653.66</v>
      </c>
      <c r="P9" s="28">
        <v>2676.92</v>
      </c>
      <c r="Q9" s="28">
        <v>2281.44</v>
      </c>
      <c r="R9" s="28">
        <v>1628.06</v>
      </c>
      <c r="S9" s="28">
        <v>332.58</v>
      </c>
      <c r="T9" s="28">
        <v>710.57</v>
      </c>
    </row>
    <row r="10" ht="22.5" customHeight="1">
      <c r="A10" s="25">
        <v>7.0</v>
      </c>
      <c r="B10" s="25" t="s">
        <v>2</v>
      </c>
      <c r="C10" s="25" t="s">
        <v>100</v>
      </c>
      <c r="D10" s="25" t="s">
        <v>76</v>
      </c>
      <c r="E10" s="25">
        <v>93.0</v>
      </c>
      <c r="F10" s="25">
        <v>91.0</v>
      </c>
      <c r="G10" s="25">
        <v>2.0</v>
      </c>
      <c r="H10" s="25" t="s">
        <v>71</v>
      </c>
      <c r="I10" s="25" t="s">
        <v>101</v>
      </c>
      <c r="J10" s="25">
        <v>60.0</v>
      </c>
      <c r="K10" s="28">
        <v>27093.13</v>
      </c>
      <c r="L10" s="29">
        <v>27093.13</v>
      </c>
      <c r="M10" s="29">
        <f t="shared" si="1"/>
        <v>0</v>
      </c>
      <c r="N10" s="29">
        <f t="shared" si="2"/>
        <v>0</v>
      </c>
      <c r="O10" s="28">
        <v>5722.19</v>
      </c>
      <c r="P10" s="28">
        <v>8549.83</v>
      </c>
      <c r="Q10" s="28">
        <v>7147.16</v>
      </c>
      <c r="R10" s="28">
        <v>5673.93</v>
      </c>
      <c r="S10" s="28">
        <v>14196.89</v>
      </c>
      <c r="T10" s="28">
        <v>4421.29</v>
      </c>
    </row>
    <row r="11" ht="22.5" customHeight="1">
      <c r="A11" s="25">
        <v>8.0</v>
      </c>
      <c r="B11" s="25" t="s">
        <v>2</v>
      </c>
      <c r="C11" s="25" t="s">
        <v>102</v>
      </c>
      <c r="D11" s="25" t="s">
        <v>86</v>
      </c>
      <c r="E11" s="25">
        <v>106.0</v>
      </c>
      <c r="F11" s="25">
        <v>98.0</v>
      </c>
      <c r="G11" s="25">
        <v>8.0</v>
      </c>
      <c r="H11" s="25" t="s">
        <v>71</v>
      </c>
      <c r="I11" s="25" t="s">
        <v>105</v>
      </c>
      <c r="J11" s="25">
        <v>60.0</v>
      </c>
      <c r="K11" s="28">
        <v>15809.48</v>
      </c>
      <c r="L11" s="29">
        <v>15404.11</v>
      </c>
      <c r="M11" s="29">
        <f t="shared" si="1"/>
        <v>405.37</v>
      </c>
      <c r="N11" s="29">
        <f t="shared" si="2"/>
        <v>24322.2</v>
      </c>
      <c r="O11" s="28">
        <v>3437.14</v>
      </c>
      <c r="P11" s="28">
        <v>5335.43</v>
      </c>
      <c r="Q11" s="28">
        <v>4310.03</v>
      </c>
      <c r="R11" s="28">
        <v>2726.86</v>
      </c>
      <c r="S11" s="28">
        <v>1717.97</v>
      </c>
      <c r="T11" s="28">
        <v>8007.53</v>
      </c>
    </row>
    <row r="12" ht="22.5" customHeight="1">
      <c r="A12" s="25">
        <v>9.0</v>
      </c>
      <c r="B12" s="25" t="s">
        <v>2</v>
      </c>
      <c r="C12" s="25" t="s">
        <v>108</v>
      </c>
      <c r="D12" s="25" t="s">
        <v>92</v>
      </c>
      <c r="E12" s="30" t="s">
        <v>109</v>
      </c>
      <c r="F12" s="25">
        <v>52.0</v>
      </c>
      <c r="G12" s="30">
        <v>4.0</v>
      </c>
      <c r="H12" s="25" t="s">
        <v>71</v>
      </c>
      <c r="I12" s="25" t="s">
        <v>110</v>
      </c>
      <c r="J12" s="25">
        <v>20.0</v>
      </c>
      <c r="K12" s="28">
        <v>42928.95</v>
      </c>
      <c r="L12" s="29">
        <v>42224.71</v>
      </c>
      <c r="M12" s="29">
        <f t="shared" si="1"/>
        <v>704.24</v>
      </c>
      <c r="N12" s="29">
        <f t="shared" si="2"/>
        <v>14084.8</v>
      </c>
      <c r="O12" s="28">
        <v>9679.81</v>
      </c>
      <c r="P12" s="28">
        <v>14913.88</v>
      </c>
      <c r="Q12" s="28">
        <v>11751.21</v>
      </c>
      <c r="R12" s="28">
        <v>6584.0</v>
      </c>
      <c r="S12" s="28">
        <v>3190.61</v>
      </c>
      <c r="T12" s="28">
        <v>610.09</v>
      </c>
    </row>
    <row r="13" ht="22.5" customHeight="1">
      <c r="A13" s="25">
        <v>10.0</v>
      </c>
      <c r="B13" s="25" t="s">
        <v>2</v>
      </c>
      <c r="C13" s="25" t="s">
        <v>111</v>
      </c>
      <c r="D13" s="25" t="s">
        <v>92</v>
      </c>
      <c r="E13" s="30" t="s">
        <v>113</v>
      </c>
      <c r="F13" s="25">
        <v>70.0</v>
      </c>
      <c r="G13" s="30">
        <v>5.0</v>
      </c>
      <c r="H13" s="25" t="s">
        <v>71</v>
      </c>
      <c r="I13" s="25" t="s">
        <v>116</v>
      </c>
      <c r="J13" s="25">
        <v>40.0</v>
      </c>
      <c r="K13" s="28">
        <v>2220.13</v>
      </c>
      <c r="L13" s="29">
        <v>2189.6</v>
      </c>
      <c r="M13" s="29">
        <f t="shared" si="1"/>
        <v>30.53</v>
      </c>
      <c r="N13" s="29">
        <f t="shared" si="2"/>
        <v>1221.2</v>
      </c>
      <c r="O13" s="28">
        <v>444.9</v>
      </c>
      <c r="P13" s="28">
        <v>790.69</v>
      </c>
      <c r="Q13" s="28">
        <v>599.72</v>
      </c>
      <c r="R13" s="28">
        <v>384.78</v>
      </c>
      <c r="S13" s="28">
        <v>1488.05</v>
      </c>
      <c r="T13" s="28">
        <v>1874.84</v>
      </c>
    </row>
    <row r="14" ht="22.5" customHeight="1">
      <c r="A14" s="25">
        <v>11.0</v>
      </c>
      <c r="B14" s="25" t="s">
        <v>2</v>
      </c>
      <c r="C14" s="25" t="s">
        <v>117</v>
      </c>
      <c r="D14" s="25" t="s">
        <v>92</v>
      </c>
      <c r="E14" s="30" t="s">
        <v>118</v>
      </c>
      <c r="F14" s="25">
        <v>65.0</v>
      </c>
      <c r="G14" s="30">
        <v>5.0</v>
      </c>
      <c r="H14" s="25" t="s">
        <v>71</v>
      </c>
      <c r="I14" s="25" t="s">
        <v>119</v>
      </c>
      <c r="J14" s="25">
        <v>80.0</v>
      </c>
      <c r="K14" s="28">
        <v>9104.74</v>
      </c>
      <c r="L14" s="29">
        <v>8894.62</v>
      </c>
      <c r="M14" s="29">
        <f t="shared" si="1"/>
        <v>210.12</v>
      </c>
      <c r="N14" s="29">
        <f t="shared" si="2"/>
        <v>16809.6</v>
      </c>
      <c r="O14" s="28">
        <v>1799.72</v>
      </c>
      <c r="P14" s="28">
        <v>2928.2</v>
      </c>
      <c r="Q14" s="28">
        <v>2500.76</v>
      </c>
      <c r="R14" s="28">
        <v>1876.05</v>
      </c>
      <c r="S14" s="28">
        <v>882.09</v>
      </c>
      <c r="T14" s="28">
        <v>39.09</v>
      </c>
    </row>
    <row r="15" ht="22.5" customHeight="1">
      <c r="A15" s="25">
        <v>12.0</v>
      </c>
      <c r="B15" s="25" t="s">
        <v>2</v>
      </c>
      <c r="C15" s="25" t="s">
        <v>120</v>
      </c>
      <c r="D15" s="25" t="s">
        <v>122</v>
      </c>
      <c r="E15" s="30" t="s">
        <v>124</v>
      </c>
      <c r="F15" s="25">
        <v>166.0</v>
      </c>
      <c r="G15" s="30">
        <v>3.0</v>
      </c>
      <c r="H15" s="25" t="s">
        <v>71</v>
      </c>
      <c r="I15" s="25" t="s">
        <v>126</v>
      </c>
      <c r="J15" s="25">
        <v>80.0</v>
      </c>
      <c r="K15" s="28">
        <v>13198.35</v>
      </c>
      <c r="L15" s="29">
        <v>13105.6</v>
      </c>
      <c r="M15" s="29">
        <f t="shared" si="1"/>
        <v>92.75</v>
      </c>
      <c r="N15" s="29">
        <f t="shared" si="2"/>
        <v>7420</v>
      </c>
      <c r="O15" s="28">
        <v>2381.95</v>
      </c>
      <c r="P15" s="28">
        <v>4786.02</v>
      </c>
      <c r="Q15" s="28">
        <v>3840.11</v>
      </c>
      <c r="R15" s="28">
        <v>2190.25</v>
      </c>
      <c r="S15" s="28">
        <v>4145.75</v>
      </c>
      <c r="T15" s="28">
        <v>32.47</v>
      </c>
    </row>
    <row r="16" ht="22.5" customHeight="1">
      <c r="A16" s="25">
        <v>13.0</v>
      </c>
      <c r="B16" s="25" t="s">
        <v>2</v>
      </c>
      <c r="C16" s="25" t="s">
        <v>127</v>
      </c>
      <c r="D16" s="25" t="s">
        <v>83</v>
      </c>
      <c r="E16" s="25">
        <v>42.0</v>
      </c>
      <c r="F16" s="25">
        <v>40.0</v>
      </c>
      <c r="G16" s="25">
        <v>2.0</v>
      </c>
      <c r="H16" s="25" t="s">
        <v>71</v>
      </c>
      <c r="I16" s="25" t="s">
        <v>128</v>
      </c>
      <c r="J16" s="25">
        <v>40.0</v>
      </c>
      <c r="K16" s="28">
        <v>17211.31</v>
      </c>
      <c r="L16" s="29">
        <v>17072.9</v>
      </c>
      <c r="M16" s="29">
        <f t="shared" si="1"/>
        <v>138.41</v>
      </c>
      <c r="N16" s="29">
        <f t="shared" si="2"/>
        <v>5536.4</v>
      </c>
      <c r="O16" s="28">
        <v>2799.15</v>
      </c>
      <c r="P16" s="28">
        <v>6735.51</v>
      </c>
      <c r="Q16" s="28">
        <v>5748.44</v>
      </c>
      <c r="R16" s="28">
        <v>1928.18</v>
      </c>
      <c r="S16" s="28">
        <v>6276.76</v>
      </c>
      <c r="T16" s="28">
        <v>39.25</v>
      </c>
    </row>
    <row r="17" ht="22.5" customHeight="1">
      <c r="A17" s="25">
        <v>14.0</v>
      </c>
      <c r="B17" s="25" t="s">
        <v>2</v>
      </c>
      <c r="C17" s="25" t="s">
        <v>132</v>
      </c>
      <c r="D17" s="25" t="s">
        <v>83</v>
      </c>
      <c r="E17" s="30" t="s">
        <v>133</v>
      </c>
      <c r="F17" s="25">
        <v>61.0</v>
      </c>
      <c r="G17" s="30">
        <v>2.0</v>
      </c>
      <c r="H17" s="25" t="s">
        <v>71</v>
      </c>
      <c r="I17" s="25" t="s">
        <v>134</v>
      </c>
      <c r="J17" s="25">
        <v>60.0</v>
      </c>
      <c r="K17" s="28">
        <v>6070.96</v>
      </c>
      <c r="L17" s="29">
        <v>5992.01</v>
      </c>
      <c r="M17" s="29">
        <f t="shared" si="1"/>
        <v>78.95</v>
      </c>
      <c r="N17" s="29">
        <f t="shared" si="2"/>
        <v>4737</v>
      </c>
      <c r="O17" s="28">
        <v>1286.76</v>
      </c>
      <c r="P17" s="28">
        <v>1926.39</v>
      </c>
      <c r="Q17" s="28">
        <v>1502.67</v>
      </c>
      <c r="R17" s="28">
        <v>1355.11</v>
      </c>
      <c r="S17" s="28">
        <v>502.1</v>
      </c>
      <c r="T17" s="28">
        <v>44.25</v>
      </c>
    </row>
    <row r="18" ht="22.5" customHeight="1">
      <c r="A18" s="25">
        <v>15.0</v>
      </c>
      <c r="B18" s="25" t="s">
        <v>2</v>
      </c>
      <c r="C18" s="25" t="s">
        <v>135</v>
      </c>
      <c r="D18" s="25" t="s">
        <v>92</v>
      </c>
      <c r="E18" s="30" t="s">
        <v>136</v>
      </c>
      <c r="F18" s="25">
        <v>72.0</v>
      </c>
      <c r="G18" s="30">
        <v>2.0</v>
      </c>
      <c r="H18" s="25" t="s">
        <v>71</v>
      </c>
      <c r="I18" s="25" t="s">
        <v>137</v>
      </c>
      <c r="J18" s="25">
        <v>60.0</v>
      </c>
      <c r="K18" s="28">
        <v>14674.14</v>
      </c>
      <c r="L18" s="29">
        <v>14268.8</v>
      </c>
      <c r="M18" s="29">
        <f t="shared" si="1"/>
        <v>405.34</v>
      </c>
      <c r="N18" s="29">
        <f t="shared" si="2"/>
        <v>24320.4</v>
      </c>
      <c r="O18" s="28">
        <v>2523.04</v>
      </c>
      <c r="P18" s="28">
        <v>5174.38</v>
      </c>
      <c r="Q18" s="28">
        <v>4174.84</v>
      </c>
      <c r="R18" s="28">
        <v>2801.86</v>
      </c>
      <c r="S18" s="28">
        <v>3750.5</v>
      </c>
      <c r="T18" s="28">
        <v>36.68</v>
      </c>
    </row>
    <row r="19" ht="22.5" customHeight="1">
      <c r="A19" s="25">
        <v>16.0</v>
      </c>
      <c r="B19" s="25" t="s">
        <v>2</v>
      </c>
      <c r="C19" s="25" t="s">
        <v>142</v>
      </c>
      <c r="D19" s="25" t="s">
        <v>92</v>
      </c>
      <c r="E19" s="30" t="s">
        <v>143</v>
      </c>
      <c r="F19" s="25">
        <v>122.0</v>
      </c>
      <c r="G19" s="30">
        <v>2.0</v>
      </c>
      <c r="H19" s="25" t="s">
        <v>71</v>
      </c>
      <c r="I19" s="25" t="s">
        <v>144</v>
      </c>
      <c r="J19" s="25">
        <v>80.0</v>
      </c>
      <c r="K19" s="28">
        <v>11364.05</v>
      </c>
      <c r="L19" s="29">
        <v>11202.67</v>
      </c>
      <c r="M19" s="29">
        <f t="shared" si="1"/>
        <v>161.38</v>
      </c>
      <c r="N19" s="29">
        <f t="shared" si="2"/>
        <v>12910.4</v>
      </c>
      <c r="O19" s="28">
        <v>2219.34</v>
      </c>
      <c r="P19" s="28">
        <v>3707.9</v>
      </c>
      <c r="Q19" s="28">
        <v>3075.86</v>
      </c>
      <c r="R19" s="28">
        <v>2360.93</v>
      </c>
      <c r="S19" s="28">
        <v>623.7</v>
      </c>
      <c r="T19" s="28">
        <v>597.67</v>
      </c>
    </row>
    <row r="20" ht="22.5" customHeight="1">
      <c r="A20" s="25">
        <v>17.0</v>
      </c>
      <c r="B20" s="25" t="s">
        <v>2</v>
      </c>
      <c r="C20" s="25" t="s">
        <v>145</v>
      </c>
      <c r="D20" s="25" t="s">
        <v>122</v>
      </c>
      <c r="E20" s="30" t="s">
        <v>146</v>
      </c>
      <c r="F20" s="25">
        <v>48.0</v>
      </c>
      <c r="G20" s="30">
        <v>3.0</v>
      </c>
      <c r="H20" s="25" t="s">
        <v>71</v>
      </c>
      <c r="I20" s="25" t="s">
        <v>147</v>
      </c>
      <c r="J20" s="25">
        <v>40.0</v>
      </c>
      <c r="K20" s="28">
        <v>23189.52</v>
      </c>
      <c r="L20" s="29">
        <v>22963.11</v>
      </c>
      <c r="M20" s="29">
        <f t="shared" si="1"/>
        <v>226.41</v>
      </c>
      <c r="N20" s="29">
        <f t="shared" si="2"/>
        <v>9056.4</v>
      </c>
      <c r="O20" s="28">
        <v>5631.42</v>
      </c>
      <c r="P20" s="28">
        <v>7731.39</v>
      </c>
      <c r="Q20" s="28">
        <v>6440.27</v>
      </c>
      <c r="R20" s="28">
        <v>3386.4</v>
      </c>
      <c r="S20" s="28">
        <v>2021.97</v>
      </c>
      <c r="T20" s="28">
        <v>58.61</v>
      </c>
    </row>
    <row r="21" ht="22.5" customHeight="1">
      <c r="A21" s="25">
        <v>18.0</v>
      </c>
      <c r="B21" s="25" t="s">
        <v>2</v>
      </c>
      <c r="C21" s="25" t="s">
        <v>148</v>
      </c>
      <c r="D21" s="25" t="s">
        <v>92</v>
      </c>
      <c r="E21" s="25">
        <v>37.0</v>
      </c>
      <c r="F21" s="25">
        <v>37.0</v>
      </c>
      <c r="G21" s="25"/>
      <c r="H21" s="25" t="s">
        <v>71</v>
      </c>
      <c r="I21" s="25" t="s">
        <v>151</v>
      </c>
      <c r="J21" s="25">
        <v>40.0</v>
      </c>
      <c r="K21" s="28">
        <v>1.0</v>
      </c>
      <c r="L21" s="29">
        <v>1.0</v>
      </c>
      <c r="M21" s="29">
        <f t="shared" si="1"/>
        <v>0</v>
      </c>
      <c r="N21" s="29">
        <f t="shared" si="2"/>
        <v>0</v>
      </c>
      <c r="O21" s="28">
        <v>0.0</v>
      </c>
      <c r="P21" s="28">
        <v>1.0</v>
      </c>
      <c r="Q21" s="28">
        <v>0.0</v>
      </c>
      <c r="R21" s="28">
        <v>0.0</v>
      </c>
      <c r="S21" s="28">
        <v>0.0</v>
      </c>
      <c r="T21" s="28">
        <v>0.0</v>
      </c>
    </row>
    <row r="22" ht="22.5" customHeight="1">
      <c r="A22" s="25">
        <v>19.0</v>
      </c>
      <c r="B22" s="25" t="s">
        <v>2</v>
      </c>
      <c r="C22" s="25" t="s">
        <v>153</v>
      </c>
      <c r="D22" s="25" t="s">
        <v>92</v>
      </c>
      <c r="E22" s="25">
        <v>36.0</v>
      </c>
      <c r="F22" s="25">
        <v>36.0</v>
      </c>
      <c r="G22" s="25"/>
      <c r="H22" s="25" t="s">
        <v>71</v>
      </c>
      <c r="I22" s="25" t="s">
        <v>154</v>
      </c>
      <c r="J22" s="25">
        <v>40.0</v>
      </c>
      <c r="K22" s="28">
        <v>2958.7</v>
      </c>
      <c r="L22" s="29">
        <v>2741.71</v>
      </c>
      <c r="M22" s="29">
        <f t="shared" si="1"/>
        <v>216.99</v>
      </c>
      <c r="N22" s="29">
        <f t="shared" si="2"/>
        <v>8679.6</v>
      </c>
      <c r="O22" s="28">
        <v>405.03</v>
      </c>
      <c r="P22" s="28">
        <v>971.66</v>
      </c>
      <c r="Q22" s="28">
        <v>793.06</v>
      </c>
      <c r="R22" s="28">
        <v>788.94</v>
      </c>
      <c r="S22" s="28">
        <v>195.04</v>
      </c>
      <c r="T22" s="28">
        <v>15.38</v>
      </c>
    </row>
    <row r="23" ht="22.5" customHeight="1">
      <c r="A23" s="25">
        <v>20.0</v>
      </c>
      <c r="B23" s="25" t="s">
        <v>2</v>
      </c>
      <c r="C23" s="25" t="s">
        <v>155</v>
      </c>
      <c r="D23" s="25" t="s">
        <v>76</v>
      </c>
      <c r="E23" s="30" t="s">
        <v>156</v>
      </c>
      <c r="F23" s="25">
        <v>91.0</v>
      </c>
      <c r="G23" s="30">
        <v>1.0</v>
      </c>
      <c r="H23" s="25" t="s">
        <v>71</v>
      </c>
      <c r="I23" s="25" t="s">
        <v>157</v>
      </c>
      <c r="J23" s="25">
        <v>40.0</v>
      </c>
      <c r="K23" s="28">
        <v>43757.9</v>
      </c>
      <c r="L23" s="29">
        <v>42866.74</v>
      </c>
      <c r="M23" s="29">
        <f t="shared" si="1"/>
        <v>891.16</v>
      </c>
      <c r="N23" s="29">
        <f t="shared" si="2"/>
        <v>35646.4</v>
      </c>
      <c r="O23" s="28">
        <v>9561.41</v>
      </c>
      <c r="P23" s="28">
        <v>16005.47</v>
      </c>
      <c r="Q23" s="28">
        <v>12290.59</v>
      </c>
      <c r="R23" s="28">
        <v>5900.41</v>
      </c>
      <c r="S23" s="28">
        <v>7190.32</v>
      </c>
      <c r="T23" s="28">
        <v>41.63</v>
      </c>
    </row>
    <row r="24" ht="22.5" customHeight="1">
      <c r="A24" s="25">
        <v>21.0</v>
      </c>
      <c r="B24" s="25" t="s">
        <v>2</v>
      </c>
      <c r="C24" s="25" t="s">
        <v>158</v>
      </c>
      <c r="D24" s="25" t="s">
        <v>76</v>
      </c>
      <c r="E24" s="30" t="s">
        <v>159</v>
      </c>
      <c r="F24" s="25">
        <v>76.0</v>
      </c>
      <c r="G24" s="30">
        <v>2.0</v>
      </c>
      <c r="H24" s="25" t="s">
        <v>71</v>
      </c>
      <c r="I24" s="25" t="s">
        <v>160</v>
      </c>
      <c r="J24" s="25">
        <v>80.0</v>
      </c>
      <c r="K24" s="28">
        <v>22128.06</v>
      </c>
      <c r="L24" s="29">
        <v>21835.95</v>
      </c>
      <c r="M24" s="29">
        <f t="shared" si="1"/>
        <v>292.11</v>
      </c>
      <c r="N24" s="29">
        <f t="shared" si="2"/>
        <v>23368.8</v>
      </c>
      <c r="O24" s="28">
        <v>5299.88</v>
      </c>
      <c r="P24" s="28">
        <v>7804.09</v>
      </c>
      <c r="Q24" s="28">
        <v>6351.14</v>
      </c>
      <c r="R24" s="28">
        <v>2672.92</v>
      </c>
      <c r="S24" s="28">
        <v>2934.07</v>
      </c>
      <c r="T24" s="28">
        <v>2970.01</v>
      </c>
    </row>
    <row r="25" ht="22.5" customHeight="1">
      <c r="A25" s="25">
        <v>22.0</v>
      </c>
      <c r="B25" s="25" t="s">
        <v>2</v>
      </c>
      <c r="C25" s="25" t="s">
        <v>149</v>
      </c>
      <c r="D25" s="25" t="s">
        <v>92</v>
      </c>
      <c r="E25" s="30" t="s">
        <v>162</v>
      </c>
      <c r="F25" s="25">
        <v>140.0</v>
      </c>
      <c r="G25" s="30">
        <v>6.0</v>
      </c>
      <c r="H25" s="25" t="s">
        <v>71</v>
      </c>
      <c r="I25" s="25" t="s">
        <v>150</v>
      </c>
      <c r="J25" s="25">
        <v>70.0</v>
      </c>
      <c r="K25" s="28">
        <v>25763.42</v>
      </c>
      <c r="L25" s="29">
        <v>25184.24</v>
      </c>
      <c r="M25" s="29">
        <f t="shared" si="1"/>
        <v>579.18</v>
      </c>
      <c r="N25" s="29">
        <f t="shared" si="2"/>
        <v>40542.6</v>
      </c>
      <c r="O25" s="28">
        <v>5990.99</v>
      </c>
      <c r="P25" s="28">
        <v>9086.98</v>
      </c>
      <c r="Q25" s="28">
        <v>7363.88</v>
      </c>
      <c r="R25" s="28">
        <v>3321.54</v>
      </c>
      <c r="S25" s="28">
        <v>2763.93</v>
      </c>
      <c r="T25" s="28">
        <v>21.25</v>
      </c>
    </row>
    <row r="26" ht="22.5" customHeight="1">
      <c r="A26" s="25">
        <v>23.0</v>
      </c>
      <c r="B26" s="25" t="s">
        <v>2</v>
      </c>
      <c r="C26" s="25" t="s">
        <v>163</v>
      </c>
      <c r="D26" s="25" t="s">
        <v>92</v>
      </c>
      <c r="E26" s="30">
        <v>51.0</v>
      </c>
      <c r="F26" s="25">
        <v>47.0</v>
      </c>
      <c r="G26" s="30">
        <v>4.0</v>
      </c>
      <c r="H26" s="25" t="s">
        <v>71</v>
      </c>
      <c r="I26" s="25" t="s">
        <v>164</v>
      </c>
      <c r="J26" s="25">
        <v>60.0</v>
      </c>
      <c r="K26" s="28">
        <v>19652.52</v>
      </c>
      <c r="L26" s="29">
        <v>19366.76</v>
      </c>
      <c r="M26" s="29">
        <f t="shared" si="1"/>
        <v>285.76</v>
      </c>
      <c r="N26" s="29">
        <f t="shared" si="2"/>
        <v>17145.6</v>
      </c>
      <c r="O26" s="28">
        <v>3928.03</v>
      </c>
      <c r="P26" s="28">
        <v>6644.79</v>
      </c>
      <c r="Q26" s="28">
        <v>5975.61</v>
      </c>
      <c r="R26" s="28">
        <v>3104.08</v>
      </c>
      <c r="S26" s="28">
        <v>2228.59</v>
      </c>
      <c r="T26" s="28">
        <v>275.57</v>
      </c>
    </row>
    <row r="27" ht="22.5" customHeight="1">
      <c r="A27" s="25">
        <v>24.0</v>
      </c>
      <c r="B27" s="25" t="s">
        <v>2</v>
      </c>
      <c r="C27" s="25" t="s">
        <v>168</v>
      </c>
      <c r="D27" s="25" t="s">
        <v>92</v>
      </c>
      <c r="E27" s="30">
        <v>57.0</v>
      </c>
      <c r="F27" s="25">
        <v>56.0</v>
      </c>
      <c r="G27" s="30">
        <v>1.0</v>
      </c>
      <c r="H27" s="25" t="s">
        <v>71</v>
      </c>
      <c r="I27" s="25" t="s">
        <v>169</v>
      </c>
      <c r="J27" s="25">
        <v>40.0</v>
      </c>
      <c r="K27" s="28">
        <v>38569.61</v>
      </c>
      <c r="L27" s="29">
        <v>38102.46</v>
      </c>
      <c r="M27" s="29">
        <f t="shared" si="1"/>
        <v>467.15</v>
      </c>
      <c r="N27" s="29">
        <f t="shared" si="2"/>
        <v>18686</v>
      </c>
      <c r="O27" s="28">
        <v>5855.76</v>
      </c>
      <c r="P27" s="28">
        <v>12367.98</v>
      </c>
      <c r="Q27" s="28">
        <v>9857.29</v>
      </c>
      <c r="R27" s="28">
        <v>10488.54</v>
      </c>
      <c r="S27" s="28">
        <v>385.71</v>
      </c>
      <c r="T27" s="28">
        <v>2750.79</v>
      </c>
    </row>
    <row r="28" ht="22.5" customHeight="1">
      <c r="A28" s="25">
        <v>25.0</v>
      </c>
      <c r="B28" s="25" t="s">
        <v>2</v>
      </c>
      <c r="C28" s="25" t="s">
        <v>170</v>
      </c>
      <c r="D28" s="25" t="s">
        <v>92</v>
      </c>
      <c r="E28" s="30">
        <v>88.0</v>
      </c>
      <c r="F28" s="25">
        <v>85.0</v>
      </c>
      <c r="G28" s="30">
        <v>3.0</v>
      </c>
      <c r="H28" s="25" t="s">
        <v>71</v>
      </c>
      <c r="I28" s="25" t="s">
        <v>171</v>
      </c>
      <c r="J28" s="25">
        <v>60.0</v>
      </c>
      <c r="K28" s="28">
        <v>41087.37</v>
      </c>
      <c r="L28" s="29">
        <v>40588.22</v>
      </c>
      <c r="M28" s="29">
        <f t="shared" si="1"/>
        <v>499.15</v>
      </c>
      <c r="N28" s="29">
        <f t="shared" si="2"/>
        <v>29949</v>
      </c>
      <c r="O28" s="28">
        <v>9431.63</v>
      </c>
      <c r="P28" s="28">
        <v>13521.64</v>
      </c>
      <c r="Q28" s="28">
        <v>11265.57</v>
      </c>
      <c r="R28" s="28">
        <v>6868.52</v>
      </c>
      <c r="S28" s="28">
        <v>2770.75</v>
      </c>
      <c r="T28" s="28">
        <v>133.53</v>
      </c>
    </row>
    <row r="29" ht="22.5" customHeight="1">
      <c r="A29" s="25">
        <v>26.0</v>
      </c>
      <c r="B29" s="25" t="s">
        <v>2</v>
      </c>
      <c r="C29" s="25" t="s">
        <v>175</v>
      </c>
      <c r="D29" s="25" t="s">
        <v>92</v>
      </c>
      <c r="E29" s="30">
        <v>151.0</v>
      </c>
      <c r="F29" s="25">
        <v>131.0</v>
      </c>
      <c r="G29" s="30">
        <v>20.0</v>
      </c>
      <c r="H29" s="25" t="s">
        <v>71</v>
      </c>
      <c r="I29" s="25" t="s">
        <v>176</v>
      </c>
      <c r="J29" s="25">
        <v>80.0</v>
      </c>
      <c r="K29" s="28">
        <v>10050.91</v>
      </c>
      <c r="L29" s="29">
        <v>9880.09</v>
      </c>
      <c r="M29" s="29">
        <f t="shared" si="1"/>
        <v>170.82</v>
      </c>
      <c r="N29" s="29">
        <f t="shared" si="2"/>
        <v>13665.6</v>
      </c>
      <c r="O29" s="28">
        <v>1922.6</v>
      </c>
      <c r="P29" s="28">
        <v>3237.13</v>
      </c>
      <c r="Q29" s="28">
        <v>2562.2</v>
      </c>
      <c r="R29" s="28">
        <v>2328.94</v>
      </c>
      <c r="S29" s="28">
        <v>218.66</v>
      </c>
      <c r="T29" s="28">
        <v>477.74</v>
      </c>
    </row>
    <row r="30" ht="22.5" customHeight="1">
      <c r="A30" s="25">
        <v>27.0</v>
      </c>
      <c r="B30" s="25" t="s">
        <v>2</v>
      </c>
      <c r="C30" s="25" t="s">
        <v>177</v>
      </c>
      <c r="D30" s="25" t="s">
        <v>83</v>
      </c>
      <c r="E30" s="30">
        <v>17.0</v>
      </c>
      <c r="F30" s="25">
        <v>16.0</v>
      </c>
      <c r="G30" s="30">
        <v>1.0</v>
      </c>
      <c r="H30" s="25" t="s">
        <v>71</v>
      </c>
      <c r="I30" s="25" t="s">
        <v>180</v>
      </c>
      <c r="J30" s="25">
        <v>60.0</v>
      </c>
      <c r="K30" s="28">
        <v>13628.46</v>
      </c>
      <c r="L30" s="29">
        <v>13456.39</v>
      </c>
      <c r="M30" s="29">
        <f t="shared" si="1"/>
        <v>172.07</v>
      </c>
      <c r="N30" s="29">
        <f t="shared" si="2"/>
        <v>10324.2</v>
      </c>
      <c r="O30" s="28">
        <v>2190.5</v>
      </c>
      <c r="P30" s="28">
        <v>4467.2</v>
      </c>
      <c r="Q30" s="28">
        <v>3629.69</v>
      </c>
      <c r="R30" s="28">
        <v>3341.06</v>
      </c>
      <c r="S30" s="28">
        <v>6639.71</v>
      </c>
      <c r="T30" s="28">
        <v>472.56</v>
      </c>
    </row>
    <row r="31" ht="22.5" customHeight="1">
      <c r="A31" s="25">
        <v>28.0</v>
      </c>
      <c r="B31" s="25" t="s">
        <v>2</v>
      </c>
      <c r="C31" s="25" t="s">
        <v>182</v>
      </c>
      <c r="D31" s="25" t="s">
        <v>83</v>
      </c>
      <c r="E31" s="30">
        <v>113.0</v>
      </c>
      <c r="F31" s="25">
        <v>113.0</v>
      </c>
      <c r="G31" s="30"/>
      <c r="H31" s="25" t="s">
        <v>71</v>
      </c>
      <c r="I31" s="25" t="s">
        <v>183</v>
      </c>
      <c r="J31" s="25">
        <v>40.0</v>
      </c>
      <c r="K31" s="28">
        <v>8941.28</v>
      </c>
      <c r="L31" s="29">
        <v>8898.48</v>
      </c>
      <c r="M31" s="29">
        <f t="shared" si="1"/>
        <v>42.8</v>
      </c>
      <c r="N31" s="29">
        <f t="shared" si="2"/>
        <v>1712</v>
      </c>
      <c r="O31" s="28">
        <v>1558.27</v>
      </c>
      <c r="P31" s="28">
        <v>2845.87</v>
      </c>
      <c r="Q31" s="28">
        <v>2363.9</v>
      </c>
      <c r="R31" s="28">
        <v>2173.2</v>
      </c>
      <c r="S31" s="28">
        <v>144.32</v>
      </c>
      <c r="T31" s="28">
        <v>538.21</v>
      </c>
    </row>
    <row r="32" ht="22.5" customHeight="1">
      <c r="A32" s="25">
        <v>29.0</v>
      </c>
      <c r="B32" s="25" t="s">
        <v>2</v>
      </c>
      <c r="C32" s="25" t="s">
        <v>113</v>
      </c>
      <c r="D32" s="25" t="s">
        <v>83</v>
      </c>
      <c r="E32" s="30">
        <v>92.0</v>
      </c>
      <c r="F32" s="25">
        <v>90.0</v>
      </c>
      <c r="G32" s="30">
        <v>2.0</v>
      </c>
      <c r="H32" s="25" t="s">
        <v>71</v>
      </c>
      <c r="I32" s="25" t="s">
        <v>187</v>
      </c>
      <c r="J32" s="25">
        <v>40.0</v>
      </c>
      <c r="K32" s="28">
        <v>30624.07</v>
      </c>
      <c r="L32" s="29">
        <v>30027.42</v>
      </c>
      <c r="M32" s="29">
        <f t="shared" si="1"/>
        <v>596.65</v>
      </c>
      <c r="N32" s="29">
        <f t="shared" si="2"/>
        <v>23866</v>
      </c>
      <c r="O32" s="28">
        <v>6406.67</v>
      </c>
      <c r="P32" s="28">
        <v>10224.52</v>
      </c>
      <c r="Q32" s="28">
        <v>8378.01</v>
      </c>
      <c r="R32" s="28">
        <v>5614.84</v>
      </c>
      <c r="S32" s="28">
        <v>1312.81</v>
      </c>
      <c r="T32" s="28">
        <v>445.62</v>
      </c>
    </row>
    <row r="33" ht="22.5" customHeight="1">
      <c r="A33" s="25">
        <v>30.0</v>
      </c>
      <c r="B33" s="25" t="s">
        <v>2</v>
      </c>
      <c r="C33" s="25" t="s">
        <v>191</v>
      </c>
      <c r="D33" s="25" t="s">
        <v>76</v>
      </c>
      <c r="E33" s="30">
        <v>34.0</v>
      </c>
      <c r="F33" s="25">
        <v>33.0</v>
      </c>
      <c r="G33" s="30">
        <v>1.0</v>
      </c>
      <c r="H33" s="25" t="s">
        <v>71</v>
      </c>
      <c r="I33" s="25" t="s">
        <v>192</v>
      </c>
      <c r="J33" s="25">
        <v>60.0</v>
      </c>
      <c r="K33" s="28">
        <v>10141.75</v>
      </c>
      <c r="L33" s="29">
        <v>9943.56</v>
      </c>
      <c r="M33" s="29">
        <f t="shared" si="1"/>
        <v>198.19</v>
      </c>
      <c r="N33" s="29">
        <f t="shared" si="2"/>
        <v>11891.4</v>
      </c>
      <c r="O33" s="28">
        <v>2156.76</v>
      </c>
      <c r="P33" s="28">
        <v>3548.34</v>
      </c>
      <c r="Q33" s="28">
        <v>3047.49</v>
      </c>
      <c r="R33" s="28">
        <v>1389.14</v>
      </c>
      <c r="S33" s="28">
        <v>1188.97</v>
      </c>
      <c r="T33" s="28">
        <v>93.85</v>
      </c>
    </row>
    <row r="34" ht="22.5" customHeight="1">
      <c r="A34" s="25">
        <v>31.0</v>
      </c>
      <c r="B34" s="25" t="s">
        <v>2</v>
      </c>
      <c r="C34" s="25" t="s">
        <v>193</v>
      </c>
      <c r="D34" s="25" t="s">
        <v>83</v>
      </c>
      <c r="E34" s="30">
        <v>27.0</v>
      </c>
      <c r="F34" s="25">
        <v>26.0</v>
      </c>
      <c r="G34" s="30">
        <v>1.0</v>
      </c>
      <c r="H34" s="25" t="s">
        <v>71</v>
      </c>
      <c r="I34" s="25" t="s">
        <v>194</v>
      </c>
      <c r="J34" s="25">
        <v>80.0</v>
      </c>
      <c r="K34" s="28">
        <v>13530.65</v>
      </c>
      <c r="L34" s="29">
        <v>13217.31</v>
      </c>
      <c r="M34" s="29">
        <f t="shared" si="1"/>
        <v>313.34</v>
      </c>
      <c r="N34" s="29">
        <f t="shared" si="2"/>
        <v>25067.2</v>
      </c>
      <c r="O34" s="28">
        <v>3440.34</v>
      </c>
      <c r="P34" s="28">
        <v>4705.38</v>
      </c>
      <c r="Q34" s="28">
        <v>3714.5</v>
      </c>
      <c r="R34" s="28">
        <v>1670.38</v>
      </c>
      <c r="S34" s="28">
        <v>2470.56</v>
      </c>
      <c r="T34" s="28">
        <v>2173.32</v>
      </c>
    </row>
    <row r="35" ht="22.5" customHeight="1">
      <c r="A35" s="25">
        <v>32.0</v>
      </c>
      <c r="B35" s="25" t="s">
        <v>2</v>
      </c>
      <c r="C35" s="25" t="s">
        <v>159</v>
      </c>
      <c r="D35" s="25" t="s">
        <v>83</v>
      </c>
      <c r="E35" s="30">
        <v>33.0</v>
      </c>
      <c r="F35" s="25">
        <v>29.0</v>
      </c>
      <c r="G35" s="30">
        <v>4.0</v>
      </c>
      <c r="H35" s="25" t="s">
        <v>71</v>
      </c>
      <c r="I35" s="25" t="s">
        <v>198</v>
      </c>
      <c r="J35" s="25">
        <v>60.0</v>
      </c>
      <c r="K35" s="28">
        <v>2224.11</v>
      </c>
      <c r="L35" s="29">
        <v>2108.95</v>
      </c>
      <c r="M35" s="29">
        <f t="shared" si="1"/>
        <v>115.16</v>
      </c>
      <c r="N35" s="29">
        <f t="shared" si="2"/>
        <v>6909.6</v>
      </c>
      <c r="O35" s="28">
        <v>532.45</v>
      </c>
      <c r="P35" s="28">
        <v>815.02</v>
      </c>
      <c r="Q35" s="28">
        <v>617.45</v>
      </c>
      <c r="R35" s="28">
        <v>259.17</v>
      </c>
      <c r="S35" s="28">
        <v>76.98</v>
      </c>
      <c r="T35" s="28">
        <v>65.71</v>
      </c>
    </row>
    <row r="36" ht="22.5" customHeight="1">
      <c r="A36" s="25">
        <v>33.0</v>
      </c>
      <c r="B36" s="25" t="s">
        <v>2</v>
      </c>
      <c r="C36" s="25" t="s">
        <v>199</v>
      </c>
      <c r="D36" s="25" t="s">
        <v>83</v>
      </c>
      <c r="E36" s="30">
        <v>103.0</v>
      </c>
      <c r="F36" s="25">
        <v>96.0</v>
      </c>
      <c r="G36" s="30">
        <v>7.0</v>
      </c>
      <c r="H36" s="25" t="s">
        <v>71</v>
      </c>
      <c r="I36" s="25" t="s">
        <v>201</v>
      </c>
      <c r="J36" s="25">
        <v>40.0</v>
      </c>
      <c r="K36" s="28">
        <v>19855.36</v>
      </c>
      <c r="L36" s="29">
        <v>19378.84</v>
      </c>
      <c r="M36" s="29">
        <f t="shared" si="1"/>
        <v>476.52</v>
      </c>
      <c r="N36" s="29">
        <f t="shared" si="2"/>
        <v>19060.8</v>
      </c>
      <c r="O36" s="28">
        <v>4798.65</v>
      </c>
      <c r="P36" s="28">
        <v>6985.74</v>
      </c>
      <c r="Q36" s="28">
        <v>5541.93</v>
      </c>
      <c r="R36" s="28">
        <v>2529.02</v>
      </c>
      <c r="S36" s="28">
        <v>873.7</v>
      </c>
      <c r="T36" s="28">
        <v>10165.12</v>
      </c>
    </row>
    <row r="37" ht="22.5" customHeight="1">
      <c r="A37" s="25">
        <v>34.0</v>
      </c>
      <c r="B37" s="25" t="s">
        <v>2</v>
      </c>
      <c r="C37" s="25" t="s">
        <v>202</v>
      </c>
      <c r="D37" s="25" t="s">
        <v>83</v>
      </c>
      <c r="E37" s="30">
        <v>72.0</v>
      </c>
      <c r="F37" s="25">
        <v>70.0</v>
      </c>
      <c r="G37" s="30">
        <v>2.0</v>
      </c>
      <c r="H37" s="25" t="s">
        <v>71</v>
      </c>
      <c r="I37" s="25" t="s">
        <v>203</v>
      </c>
      <c r="J37" s="25">
        <v>120.0</v>
      </c>
      <c r="K37" s="28">
        <v>2263.47</v>
      </c>
      <c r="L37" s="29">
        <v>2136.42</v>
      </c>
      <c r="M37" s="29">
        <f t="shared" si="1"/>
        <v>127.05</v>
      </c>
      <c r="N37" s="29">
        <f t="shared" si="2"/>
        <v>15246</v>
      </c>
      <c r="O37" s="28">
        <v>281.23</v>
      </c>
      <c r="P37" s="28">
        <v>642.18</v>
      </c>
      <c r="Q37" s="28">
        <v>583.45</v>
      </c>
      <c r="R37" s="28">
        <v>756.59</v>
      </c>
      <c r="S37" s="28">
        <v>156.56</v>
      </c>
      <c r="T37" s="28">
        <v>33.33</v>
      </c>
    </row>
    <row r="38" ht="22.5" customHeight="1">
      <c r="A38" s="25">
        <v>35.0</v>
      </c>
      <c r="B38" s="25" t="s">
        <v>2</v>
      </c>
      <c r="C38" s="25" t="s">
        <v>207</v>
      </c>
      <c r="D38" s="25" t="s">
        <v>122</v>
      </c>
      <c r="E38" s="30">
        <v>82.0</v>
      </c>
      <c r="F38" s="25">
        <v>78.0</v>
      </c>
      <c r="G38" s="30">
        <v>4.0</v>
      </c>
      <c r="H38" s="25" t="s">
        <v>71</v>
      </c>
      <c r="I38" s="25" t="s">
        <v>208</v>
      </c>
      <c r="J38" s="25">
        <v>40.0</v>
      </c>
      <c r="K38" s="28">
        <v>30780.63</v>
      </c>
      <c r="L38" s="29">
        <v>30397.11</v>
      </c>
      <c r="M38" s="29">
        <f t="shared" si="1"/>
        <v>383.52</v>
      </c>
      <c r="N38" s="29">
        <f t="shared" si="2"/>
        <v>15340.8</v>
      </c>
      <c r="O38" s="28">
        <v>6707.39</v>
      </c>
      <c r="P38" s="28">
        <v>10445.02</v>
      </c>
      <c r="Q38" s="28">
        <v>8475.94</v>
      </c>
      <c r="R38" s="28">
        <v>5152.26</v>
      </c>
      <c r="S38" s="28">
        <v>4230.8</v>
      </c>
      <c r="T38" s="28">
        <v>51.6</v>
      </c>
    </row>
    <row r="39" ht="22.5" customHeight="1">
      <c r="A39" s="25">
        <v>36.0</v>
      </c>
      <c r="B39" s="25" t="s">
        <v>2</v>
      </c>
      <c r="C39" s="25" t="s">
        <v>209</v>
      </c>
      <c r="D39" s="25" t="s">
        <v>122</v>
      </c>
      <c r="E39" s="25">
        <v>69.0</v>
      </c>
      <c r="F39" s="25">
        <v>69.0</v>
      </c>
      <c r="G39" s="25"/>
      <c r="H39" s="25" t="s">
        <v>71</v>
      </c>
      <c r="I39" s="25" t="s">
        <v>210</v>
      </c>
      <c r="J39" s="25">
        <v>40.0</v>
      </c>
      <c r="K39" s="28">
        <v>31995.9</v>
      </c>
      <c r="L39" s="29">
        <v>31620.93</v>
      </c>
      <c r="M39" s="29">
        <f t="shared" si="1"/>
        <v>374.97</v>
      </c>
      <c r="N39" s="29">
        <f t="shared" si="2"/>
        <v>14998.8</v>
      </c>
      <c r="O39" s="28">
        <v>7195.19</v>
      </c>
      <c r="P39" s="28">
        <v>10803.45</v>
      </c>
      <c r="Q39" s="28">
        <v>8766.68</v>
      </c>
      <c r="R39" s="28">
        <v>5230.56</v>
      </c>
      <c r="S39" s="28">
        <v>1663.51</v>
      </c>
      <c r="T39" s="28">
        <v>28.44</v>
      </c>
    </row>
    <row r="40" ht="22.5" customHeight="1">
      <c r="A40" s="25">
        <v>37.0</v>
      </c>
      <c r="B40" s="25" t="s">
        <v>2</v>
      </c>
      <c r="C40" s="25" t="s">
        <v>214</v>
      </c>
      <c r="D40" s="25" t="s">
        <v>122</v>
      </c>
      <c r="E40" s="25">
        <v>19.0</v>
      </c>
      <c r="F40" s="25">
        <v>19.0</v>
      </c>
      <c r="G40" s="25"/>
      <c r="H40" s="25" t="s">
        <v>71</v>
      </c>
      <c r="I40" s="25" t="s">
        <v>215</v>
      </c>
      <c r="J40" s="25">
        <v>30.0</v>
      </c>
      <c r="K40" s="28">
        <v>2232.39</v>
      </c>
      <c r="L40" s="29">
        <v>2048.67</v>
      </c>
      <c r="M40" s="29">
        <f t="shared" si="1"/>
        <v>183.72</v>
      </c>
      <c r="N40" s="29">
        <f t="shared" si="2"/>
        <v>5511.6</v>
      </c>
      <c r="O40" s="28">
        <v>291.01</v>
      </c>
      <c r="P40" s="28">
        <v>720.52</v>
      </c>
      <c r="Q40" s="28">
        <v>606.79</v>
      </c>
      <c r="R40" s="28">
        <v>614.06</v>
      </c>
      <c r="S40" s="28">
        <v>219.97</v>
      </c>
      <c r="T40" s="28">
        <v>13.36</v>
      </c>
    </row>
    <row r="41" ht="22.5" customHeight="1">
      <c r="A41" s="25">
        <v>38.0</v>
      </c>
      <c r="B41" s="25" t="s">
        <v>2</v>
      </c>
      <c r="C41" s="25" t="s">
        <v>216</v>
      </c>
      <c r="D41" s="25" t="s">
        <v>122</v>
      </c>
      <c r="E41" s="30">
        <v>80.0</v>
      </c>
      <c r="F41" s="25">
        <v>79.0</v>
      </c>
      <c r="G41" s="30">
        <v>1.0</v>
      </c>
      <c r="H41" s="25" t="s">
        <v>71</v>
      </c>
      <c r="I41" s="25" t="s">
        <v>217</v>
      </c>
      <c r="J41" s="25">
        <v>200.0</v>
      </c>
      <c r="K41" s="28">
        <v>1857.72</v>
      </c>
      <c r="L41" s="29">
        <v>1673.22</v>
      </c>
      <c r="M41" s="29">
        <f t="shared" si="1"/>
        <v>184.5</v>
      </c>
      <c r="N41" s="29">
        <f t="shared" si="2"/>
        <v>36900</v>
      </c>
      <c r="O41" s="28">
        <v>234.13</v>
      </c>
      <c r="P41" s="28">
        <v>597.96</v>
      </c>
      <c r="Q41" s="28">
        <v>451.48</v>
      </c>
      <c r="R41" s="28">
        <v>574.13</v>
      </c>
      <c r="S41" s="28">
        <v>891.15</v>
      </c>
      <c r="T41" s="28">
        <v>4.19</v>
      </c>
    </row>
    <row r="42" ht="22.5" customHeight="1">
      <c r="A42" s="25">
        <v>39.0</v>
      </c>
      <c r="B42" s="25" t="s">
        <v>2</v>
      </c>
      <c r="C42" s="25" t="s">
        <v>221</v>
      </c>
      <c r="D42" s="25" t="s">
        <v>86</v>
      </c>
      <c r="E42" s="30">
        <v>160.0</v>
      </c>
      <c r="F42" s="25">
        <v>157.0</v>
      </c>
      <c r="G42" s="30">
        <v>3.0</v>
      </c>
      <c r="H42" s="25" t="s">
        <v>71</v>
      </c>
      <c r="I42" s="25" t="s">
        <v>222</v>
      </c>
      <c r="J42" s="25">
        <v>80.0</v>
      </c>
      <c r="K42" s="28">
        <v>6263.62</v>
      </c>
      <c r="L42" s="29">
        <v>5754.4</v>
      </c>
      <c r="M42" s="29">
        <f t="shared" si="1"/>
        <v>509.22</v>
      </c>
      <c r="N42" s="29">
        <f t="shared" si="2"/>
        <v>40737.6</v>
      </c>
      <c r="O42" s="28">
        <v>804.94</v>
      </c>
      <c r="P42" s="28">
        <v>2208.22</v>
      </c>
      <c r="Q42" s="28">
        <v>1333.76</v>
      </c>
      <c r="R42" s="28">
        <v>1916.65</v>
      </c>
      <c r="S42" s="28">
        <v>805.6</v>
      </c>
      <c r="T42" s="28">
        <v>50.07</v>
      </c>
    </row>
    <row r="43" ht="22.5" customHeight="1">
      <c r="A43" s="25">
        <v>40.0</v>
      </c>
      <c r="B43" s="25" t="s">
        <v>2</v>
      </c>
      <c r="C43" s="25" t="s">
        <v>223</v>
      </c>
      <c r="D43" s="25" t="s">
        <v>86</v>
      </c>
      <c r="E43" s="30">
        <v>130.0</v>
      </c>
      <c r="F43" s="25">
        <v>127.0</v>
      </c>
      <c r="G43" s="30">
        <v>3.0</v>
      </c>
      <c r="H43" s="25" t="s">
        <v>71</v>
      </c>
      <c r="I43" s="25" t="s">
        <v>226</v>
      </c>
      <c r="J43" s="25">
        <v>80.0</v>
      </c>
      <c r="K43" s="28">
        <v>34275.95</v>
      </c>
      <c r="L43" s="29">
        <v>33772.39</v>
      </c>
      <c r="M43" s="29">
        <f t="shared" si="1"/>
        <v>503.56</v>
      </c>
      <c r="N43" s="29">
        <f t="shared" si="2"/>
        <v>40284.8</v>
      </c>
      <c r="O43" s="28">
        <v>7039.45</v>
      </c>
      <c r="P43" s="28">
        <v>12011.88</v>
      </c>
      <c r="Q43" s="28">
        <v>9739.84</v>
      </c>
      <c r="R43" s="28">
        <v>5484.76</v>
      </c>
      <c r="S43" s="28">
        <v>4882.25</v>
      </c>
      <c r="T43" s="28">
        <v>203.47</v>
      </c>
    </row>
    <row r="44" ht="22.5" customHeight="1">
      <c r="A44" s="25">
        <v>41.0</v>
      </c>
      <c r="B44" s="25" t="s">
        <v>2</v>
      </c>
      <c r="C44" s="25" t="s">
        <v>228</v>
      </c>
      <c r="D44" s="25" t="s">
        <v>122</v>
      </c>
      <c r="E44" s="25">
        <v>60.0</v>
      </c>
      <c r="F44" s="25">
        <v>60.0</v>
      </c>
      <c r="G44" s="25"/>
      <c r="H44" s="25" t="s">
        <v>71</v>
      </c>
      <c r="I44" s="25" t="s">
        <v>229</v>
      </c>
      <c r="J44" s="25">
        <v>40.0</v>
      </c>
      <c r="K44" s="28">
        <v>28892.77</v>
      </c>
      <c r="L44" s="29">
        <v>28591.03</v>
      </c>
      <c r="M44" s="29">
        <f t="shared" si="1"/>
        <v>301.74</v>
      </c>
      <c r="N44" s="29">
        <f t="shared" si="2"/>
        <v>12069.6</v>
      </c>
      <c r="O44" s="28">
        <v>7346.51</v>
      </c>
      <c r="P44" s="28">
        <v>9601.55</v>
      </c>
      <c r="Q44" s="28">
        <v>7586.62</v>
      </c>
      <c r="R44" s="28">
        <v>4358.06</v>
      </c>
      <c r="S44" s="28">
        <v>2079.94</v>
      </c>
      <c r="T44" s="28">
        <v>15.67</v>
      </c>
    </row>
    <row r="45" ht="22.5" customHeight="1">
      <c r="A45" s="25">
        <v>42.0</v>
      </c>
      <c r="B45" s="25" t="s">
        <v>2</v>
      </c>
      <c r="C45" s="25" t="s">
        <v>232</v>
      </c>
      <c r="D45" s="25" t="s">
        <v>92</v>
      </c>
      <c r="E45" s="30">
        <v>84.0</v>
      </c>
      <c r="F45" s="25">
        <v>79.0</v>
      </c>
      <c r="G45" s="30">
        <v>5.0</v>
      </c>
      <c r="H45" s="25" t="s">
        <v>71</v>
      </c>
      <c r="I45" s="25" t="s">
        <v>233</v>
      </c>
      <c r="J45" s="25">
        <v>40.0</v>
      </c>
      <c r="K45" s="28">
        <v>33330.36</v>
      </c>
      <c r="L45" s="29">
        <v>32937.39</v>
      </c>
      <c r="M45" s="29">
        <f t="shared" si="1"/>
        <v>392.97</v>
      </c>
      <c r="N45" s="29">
        <f t="shared" si="2"/>
        <v>15718.8</v>
      </c>
      <c r="O45" s="28">
        <v>7405.26</v>
      </c>
      <c r="P45" s="28">
        <v>11132.26</v>
      </c>
      <c r="Q45" s="28">
        <v>9397.75</v>
      </c>
      <c r="R45" s="28">
        <v>5395.07</v>
      </c>
      <c r="S45" s="28">
        <v>2564.96</v>
      </c>
      <c r="T45" s="28">
        <v>0.03</v>
      </c>
    </row>
    <row r="46" ht="22.5" customHeight="1">
      <c r="A46" s="25">
        <v>43.0</v>
      </c>
      <c r="B46" s="25" t="s">
        <v>2</v>
      </c>
      <c r="C46" s="25" t="s">
        <v>234</v>
      </c>
      <c r="D46" s="25" t="s">
        <v>122</v>
      </c>
      <c r="E46" s="30">
        <v>8.0</v>
      </c>
      <c r="F46" s="25">
        <v>7.0</v>
      </c>
      <c r="G46" s="30">
        <v>1.0</v>
      </c>
      <c r="H46" s="25" t="s">
        <v>71</v>
      </c>
      <c r="I46" s="25" t="s">
        <v>235</v>
      </c>
      <c r="J46" s="25">
        <v>40.0</v>
      </c>
      <c r="K46" s="28">
        <v>18066.32</v>
      </c>
      <c r="L46" s="29">
        <v>17823.32</v>
      </c>
      <c r="M46" s="29">
        <f t="shared" si="1"/>
        <v>243</v>
      </c>
      <c r="N46" s="29">
        <f t="shared" si="2"/>
        <v>9720</v>
      </c>
      <c r="O46" s="28">
        <v>3623.57</v>
      </c>
      <c r="P46" s="28">
        <v>5776.72</v>
      </c>
      <c r="Q46" s="28">
        <v>4782.82</v>
      </c>
      <c r="R46" s="28">
        <v>3883.2</v>
      </c>
      <c r="S46" s="28">
        <v>651.12</v>
      </c>
      <c r="T46" s="28">
        <v>105.42</v>
      </c>
    </row>
    <row r="47" ht="22.5" customHeight="1">
      <c r="A47" s="25">
        <v>44.0</v>
      </c>
      <c r="B47" s="25" t="s">
        <v>2</v>
      </c>
      <c r="C47" s="25" t="s">
        <v>238</v>
      </c>
      <c r="D47" s="25" t="s">
        <v>122</v>
      </c>
      <c r="E47" s="30">
        <v>91.0</v>
      </c>
      <c r="F47" s="25">
        <v>88.0</v>
      </c>
      <c r="G47" s="30">
        <v>3.0</v>
      </c>
      <c r="H47" s="25" t="s">
        <v>71</v>
      </c>
      <c r="I47" s="25" t="s">
        <v>239</v>
      </c>
      <c r="J47" s="25">
        <v>40.0</v>
      </c>
      <c r="K47" s="28">
        <v>5791.19</v>
      </c>
      <c r="L47" s="29">
        <v>5715.44</v>
      </c>
      <c r="M47" s="29">
        <f t="shared" si="1"/>
        <v>75.75</v>
      </c>
      <c r="N47" s="29">
        <f t="shared" si="2"/>
        <v>3030</v>
      </c>
      <c r="O47" s="28">
        <v>1249.8</v>
      </c>
      <c r="P47" s="28">
        <v>1979.96</v>
      </c>
      <c r="Q47" s="28">
        <v>1575.71</v>
      </c>
      <c r="R47" s="28">
        <v>985.69</v>
      </c>
      <c r="S47" s="28">
        <v>897.97</v>
      </c>
      <c r="T47" s="28">
        <v>117.19</v>
      </c>
    </row>
    <row r="48" ht="22.5" customHeight="1">
      <c r="A48" s="25">
        <v>45.0</v>
      </c>
      <c r="B48" s="25" t="s">
        <v>2</v>
      </c>
      <c r="C48" s="25" t="s">
        <v>240</v>
      </c>
      <c r="D48" s="25" t="s">
        <v>122</v>
      </c>
      <c r="E48" s="30">
        <v>69.0</v>
      </c>
      <c r="F48" s="25">
        <v>68.0</v>
      </c>
      <c r="G48" s="30">
        <v>1.0</v>
      </c>
      <c r="H48" s="25" t="s">
        <v>71</v>
      </c>
      <c r="I48" s="25" t="s">
        <v>244</v>
      </c>
      <c r="J48" s="25">
        <v>60.0</v>
      </c>
      <c r="K48" s="28">
        <v>5170.18</v>
      </c>
      <c r="L48" s="29">
        <v>5044.09</v>
      </c>
      <c r="M48" s="29">
        <f t="shared" si="1"/>
        <v>126.09</v>
      </c>
      <c r="N48" s="29">
        <f t="shared" si="2"/>
        <v>7565.4</v>
      </c>
      <c r="O48" s="28">
        <v>1037.42</v>
      </c>
      <c r="P48" s="28">
        <v>1669.55</v>
      </c>
      <c r="Q48" s="28">
        <v>1394.44</v>
      </c>
      <c r="R48" s="28">
        <v>1068.74</v>
      </c>
      <c r="S48" s="28">
        <v>303.13</v>
      </c>
      <c r="T48" s="28">
        <v>77.4</v>
      </c>
    </row>
    <row r="49" ht="22.5" customHeight="1">
      <c r="A49" s="25">
        <v>46.0</v>
      </c>
      <c r="B49" s="25" t="s">
        <v>2</v>
      </c>
      <c r="C49" s="25" t="s">
        <v>245</v>
      </c>
      <c r="D49" s="25" t="s">
        <v>122</v>
      </c>
      <c r="E49" s="30">
        <v>107.0</v>
      </c>
      <c r="F49" s="25">
        <v>105.0</v>
      </c>
      <c r="G49" s="30">
        <v>2.0</v>
      </c>
      <c r="H49" s="25" t="s">
        <v>71</v>
      </c>
      <c r="I49" s="25" t="s">
        <v>249</v>
      </c>
      <c r="J49" s="25">
        <v>80.0</v>
      </c>
      <c r="K49" s="28">
        <v>1203.17</v>
      </c>
      <c r="L49" s="29">
        <v>1099.3</v>
      </c>
      <c r="M49" s="29">
        <f t="shared" si="1"/>
        <v>103.87</v>
      </c>
      <c r="N49" s="29">
        <f t="shared" si="2"/>
        <v>8309.6</v>
      </c>
      <c r="O49" s="28">
        <v>149.32</v>
      </c>
      <c r="P49" s="28">
        <v>381.3</v>
      </c>
      <c r="Q49" s="28">
        <v>294.59</v>
      </c>
      <c r="R49" s="28">
        <v>377.95</v>
      </c>
      <c r="S49" s="28">
        <v>320.13</v>
      </c>
      <c r="T49" s="28">
        <v>1.0</v>
      </c>
    </row>
    <row r="50" ht="22.5" customHeight="1">
      <c r="A50" s="25">
        <v>47.0</v>
      </c>
      <c r="B50" s="25" t="s">
        <v>2</v>
      </c>
      <c r="C50" s="25" t="s">
        <v>129</v>
      </c>
      <c r="D50" s="25" t="s">
        <v>122</v>
      </c>
      <c r="E50" s="30">
        <v>65.0</v>
      </c>
      <c r="F50" s="25">
        <v>62.0</v>
      </c>
      <c r="G50" s="30">
        <v>3.0</v>
      </c>
      <c r="H50" s="25" t="s">
        <v>71</v>
      </c>
      <c r="I50" s="25" t="s">
        <v>130</v>
      </c>
      <c r="J50" s="25">
        <v>40.0</v>
      </c>
      <c r="K50" s="28">
        <v>14895.52</v>
      </c>
      <c r="L50" s="29">
        <v>14245.02</v>
      </c>
      <c r="M50" s="29">
        <f t="shared" si="1"/>
        <v>650.5</v>
      </c>
      <c r="N50" s="29">
        <f t="shared" si="2"/>
        <v>26020</v>
      </c>
      <c r="O50" s="28">
        <v>3366.11</v>
      </c>
      <c r="P50" s="28">
        <v>5180.09</v>
      </c>
      <c r="Q50" s="28">
        <v>4098.33</v>
      </c>
      <c r="R50" s="28">
        <v>2250.96</v>
      </c>
      <c r="S50" s="28">
        <v>3109.55</v>
      </c>
      <c r="T50" s="28">
        <v>1053.71</v>
      </c>
    </row>
    <row r="51" ht="22.5" customHeight="1">
      <c r="A51" s="25">
        <v>48.0</v>
      </c>
      <c r="B51" s="25" t="s">
        <v>2</v>
      </c>
      <c r="C51" s="25" t="s">
        <v>251</v>
      </c>
      <c r="D51" s="25" t="s">
        <v>83</v>
      </c>
      <c r="E51" s="30">
        <v>62.0</v>
      </c>
      <c r="F51" s="25">
        <v>60.0</v>
      </c>
      <c r="G51" s="30">
        <v>2.0</v>
      </c>
      <c r="H51" s="25" t="s">
        <v>71</v>
      </c>
      <c r="I51" s="25" t="s">
        <v>252</v>
      </c>
      <c r="J51" s="25">
        <v>40.0</v>
      </c>
      <c r="K51" s="28">
        <v>3716.06</v>
      </c>
      <c r="L51" s="29">
        <v>3532.83</v>
      </c>
      <c r="M51" s="29">
        <f t="shared" si="1"/>
        <v>183.23</v>
      </c>
      <c r="N51" s="29">
        <f t="shared" si="2"/>
        <v>7329.2</v>
      </c>
      <c r="O51" s="28">
        <v>478.77</v>
      </c>
      <c r="P51" s="28">
        <v>1143.99</v>
      </c>
      <c r="Q51" s="28">
        <v>920.58</v>
      </c>
      <c r="R51" s="28">
        <v>1172.7</v>
      </c>
      <c r="S51" s="28">
        <v>196.16</v>
      </c>
      <c r="T51" s="28">
        <v>30.02</v>
      </c>
    </row>
    <row r="52" ht="22.5" customHeight="1">
      <c r="A52" s="25">
        <v>49.0</v>
      </c>
      <c r="B52" s="25" t="s">
        <v>2</v>
      </c>
      <c r="C52" s="25" t="s">
        <v>253</v>
      </c>
      <c r="D52" s="25" t="s">
        <v>122</v>
      </c>
      <c r="E52" s="25">
        <v>27.0</v>
      </c>
      <c r="F52" s="25">
        <v>27.0</v>
      </c>
      <c r="G52" s="25"/>
      <c r="H52" s="25" t="s">
        <v>71</v>
      </c>
      <c r="I52" s="25" t="s">
        <v>257</v>
      </c>
      <c r="J52" s="25">
        <v>20.0</v>
      </c>
      <c r="K52" s="28">
        <v>1852.11</v>
      </c>
      <c r="L52" s="29">
        <v>1714.42</v>
      </c>
      <c r="M52" s="29">
        <f t="shared" si="1"/>
        <v>137.69</v>
      </c>
      <c r="N52" s="29">
        <f t="shared" si="2"/>
        <v>2753.8</v>
      </c>
      <c r="O52" s="28">
        <v>467.16</v>
      </c>
      <c r="P52" s="28">
        <v>727.0</v>
      </c>
      <c r="Q52" s="28">
        <v>522.93</v>
      </c>
      <c r="R52" s="28">
        <v>134.98</v>
      </c>
      <c r="S52" s="28">
        <v>98.75</v>
      </c>
      <c r="T52" s="28">
        <v>171.65</v>
      </c>
    </row>
    <row r="53" ht="22.5" customHeight="1">
      <c r="A53" s="25">
        <v>50.0</v>
      </c>
      <c r="B53" s="25" t="s">
        <v>2</v>
      </c>
      <c r="C53" s="25" t="s">
        <v>258</v>
      </c>
      <c r="D53" s="25" t="s">
        <v>86</v>
      </c>
      <c r="E53" s="30">
        <v>75.0</v>
      </c>
      <c r="F53" s="25">
        <v>73.0</v>
      </c>
      <c r="G53" s="30">
        <v>2.0</v>
      </c>
      <c r="H53" s="25" t="s">
        <v>71</v>
      </c>
      <c r="I53" s="25" t="s">
        <v>259</v>
      </c>
      <c r="J53" s="25">
        <v>70.0</v>
      </c>
      <c r="K53" s="28">
        <v>2376.46</v>
      </c>
      <c r="L53" s="29">
        <v>2376.46</v>
      </c>
      <c r="M53" s="29">
        <f t="shared" si="1"/>
        <v>0</v>
      </c>
      <c r="N53" s="29">
        <f t="shared" si="2"/>
        <v>0</v>
      </c>
      <c r="O53" s="28">
        <v>326.74</v>
      </c>
      <c r="P53" s="28">
        <v>679.01</v>
      </c>
      <c r="Q53" s="28">
        <v>597.54</v>
      </c>
      <c r="R53" s="28">
        <v>773.13</v>
      </c>
      <c r="S53" s="28">
        <v>0.01</v>
      </c>
      <c r="T53" s="28">
        <v>5671.76</v>
      </c>
    </row>
    <row r="54" ht="22.5" customHeight="1">
      <c r="A54" s="25">
        <v>51.0</v>
      </c>
      <c r="B54" s="25" t="s">
        <v>2</v>
      </c>
      <c r="C54" s="25" t="s">
        <v>263</v>
      </c>
      <c r="D54" s="25" t="s">
        <v>86</v>
      </c>
      <c r="E54" s="30">
        <v>111.0</v>
      </c>
      <c r="F54" s="25">
        <v>104.0</v>
      </c>
      <c r="G54" s="30">
        <v>7.0</v>
      </c>
      <c r="H54" s="25" t="s">
        <v>71</v>
      </c>
      <c r="I54" s="25" t="s">
        <v>264</v>
      </c>
      <c r="J54" s="25">
        <v>50.0</v>
      </c>
      <c r="K54" s="28">
        <v>5120.34</v>
      </c>
      <c r="L54" s="29">
        <v>4574.02</v>
      </c>
      <c r="M54" s="29">
        <f t="shared" si="1"/>
        <v>546.32</v>
      </c>
      <c r="N54" s="29">
        <f t="shared" si="2"/>
        <v>27316</v>
      </c>
      <c r="O54" s="28">
        <v>553.72</v>
      </c>
      <c r="P54" s="28">
        <v>2007.12</v>
      </c>
      <c r="Q54" s="28">
        <v>1264.37</v>
      </c>
      <c r="R54" s="28">
        <v>1295.11</v>
      </c>
      <c r="S54" s="28">
        <v>1080.31</v>
      </c>
      <c r="T54" s="28">
        <v>6.09</v>
      </c>
    </row>
    <row r="55" ht="22.5" customHeight="1">
      <c r="A55" s="25">
        <v>52.0</v>
      </c>
      <c r="B55" s="25" t="s">
        <v>2</v>
      </c>
      <c r="C55" s="25" t="s">
        <v>265</v>
      </c>
      <c r="D55" s="25" t="s">
        <v>86</v>
      </c>
      <c r="E55" s="30">
        <v>43.0</v>
      </c>
      <c r="F55" s="25">
        <v>41.0</v>
      </c>
      <c r="G55" s="30">
        <v>2.0</v>
      </c>
      <c r="H55" s="25" t="s">
        <v>71</v>
      </c>
      <c r="I55" s="25" t="s">
        <v>266</v>
      </c>
      <c r="J55" s="25">
        <v>40.0</v>
      </c>
      <c r="K55" s="28">
        <v>33049.69</v>
      </c>
      <c r="L55" s="29">
        <v>32684.75</v>
      </c>
      <c r="M55" s="29">
        <f t="shared" si="1"/>
        <v>364.94</v>
      </c>
      <c r="N55" s="29">
        <f t="shared" si="2"/>
        <v>14597.6</v>
      </c>
      <c r="O55" s="28">
        <v>7684.34</v>
      </c>
      <c r="P55" s="28">
        <v>10830.27</v>
      </c>
      <c r="Q55" s="28">
        <v>8800.28</v>
      </c>
      <c r="R55" s="28">
        <v>5734.78</v>
      </c>
      <c r="S55" s="28">
        <v>3461.87</v>
      </c>
      <c r="T55" s="28">
        <v>93.7</v>
      </c>
    </row>
    <row r="56" ht="22.5" customHeight="1">
      <c r="A56" s="25">
        <v>53.0</v>
      </c>
      <c r="B56" s="25" t="s">
        <v>2</v>
      </c>
      <c r="C56" s="25" t="s">
        <v>270</v>
      </c>
      <c r="D56" s="25" t="s">
        <v>122</v>
      </c>
      <c r="E56" s="30">
        <v>60.0</v>
      </c>
      <c r="F56" s="25">
        <v>59.0</v>
      </c>
      <c r="G56" s="30">
        <v>1.0</v>
      </c>
      <c r="H56" s="25" t="s">
        <v>71</v>
      </c>
      <c r="I56" s="25" t="s">
        <v>271</v>
      </c>
      <c r="J56" s="25">
        <v>40.0</v>
      </c>
      <c r="K56" s="28">
        <v>29824.54</v>
      </c>
      <c r="L56" s="29">
        <v>29511.91</v>
      </c>
      <c r="M56" s="29">
        <f t="shared" si="1"/>
        <v>312.63</v>
      </c>
      <c r="N56" s="29">
        <f t="shared" si="2"/>
        <v>12505.2</v>
      </c>
      <c r="O56" s="28">
        <v>6014.12</v>
      </c>
      <c r="P56" s="28">
        <v>9690.8</v>
      </c>
      <c r="Q56" s="28">
        <v>8010.73</v>
      </c>
      <c r="R56" s="28">
        <v>6108.86</v>
      </c>
      <c r="S56" s="28">
        <v>1717.97</v>
      </c>
      <c r="T56" s="28">
        <v>171.36</v>
      </c>
    </row>
    <row r="57" ht="22.5" customHeight="1">
      <c r="A57" s="25">
        <v>54.0</v>
      </c>
      <c r="B57" s="25" t="s">
        <v>2</v>
      </c>
      <c r="C57" s="25" t="s">
        <v>272</v>
      </c>
      <c r="D57" s="25" t="s">
        <v>86</v>
      </c>
      <c r="E57" s="30">
        <v>45.0</v>
      </c>
      <c r="F57" s="25">
        <v>44.0</v>
      </c>
      <c r="G57" s="30">
        <v>1.0</v>
      </c>
      <c r="H57" s="25" t="s">
        <v>71</v>
      </c>
      <c r="I57" s="25" t="s">
        <v>276</v>
      </c>
      <c r="J57" s="25">
        <v>60.0</v>
      </c>
      <c r="K57" s="28">
        <v>12955.34</v>
      </c>
      <c r="L57" s="29">
        <v>12632.02</v>
      </c>
      <c r="M57" s="29">
        <f t="shared" si="1"/>
        <v>323.32</v>
      </c>
      <c r="N57" s="29">
        <f t="shared" si="2"/>
        <v>19399.2</v>
      </c>
      <c r="O57" s="28">
        <v>2819.66</v>
      </c>
      <c r="P57" s="28">
        <v>4320.54</v>
      </c>
      <c r="Q57" s="28">
        <v>3470.05</v>
      </c>
      <c r="R57" s="28">
        <v>2345.07</v>
      </c>
      <c r="S57" s="28">
        <v>558.13</v>
      </c>
      <c r="T57" s="28">
        <v>298.08</v>
      </c>
    </row>
    <row r="58" ht="22.5" customHeight="1">
      <c r="A58" s="25">
        <v>55.0</v>
      </c>
      <c r="B58" s="25" t="s">
        <v>2</v>
      </c>
      <c r="C58" s="25" t="s">
        <v>277</v>
      </c>
      <c r="D58" s="25" t="s">
        <v>86</v>
      </c>
      <c r="E58" s="30">
        <v>26.0</v>
      </c>
      <c r="F58" s="25">
        <v>24.0</v>
      </c>
      <c r="G58" s="30">
        <v>2.0</v>
      </c>
      <c r="H58" s="25" t="s">
        <v>71</v>
      </c>
      <c r="I58" s="25" t="s">
        <v>278</v>
      </c>
      <c r="J58" s="25">
        <v>160.0</v>
      </c>
      <c r="K58" s="28">
        <v>21550.7</v>
      </c>
      <c r="L58" s="29">
        <v>21306.67</v>
      </c>
      <c r="M58" s="29">
        <f t="shared" si="1"/>
        <v>244.03</v>
      </c>
      <c r="N58" s="29">
        <f t="shared" si="2"/>
        <v>39044.8</v>
      </c>
      <c r="O58" s="28">
        <v>3210.89</v>
      </c>
      <c r="P58" s="28">
        <v>8090.66</v>
      </c>
      <c r="Q58" s="28">
        <v>5485.09</v>
      </c>
      <c r="R58" s="28">
        <v>4764.04</v>
      </c>
      <c r="S58" s="28">
        <v>3366.28</v>
      </c>
      <c r="T58" s="28">
        <v>158.28</v>
      </c>
    </row>
    <row r="59" ht="22.5" customHeight="1">
      <c r="A59" s="25">
        <v>56.0</v>
      </c>
      <c r="B59" s="25" t="s">
        <v>2</v>
      </c>
      <c r="C59" s="25" t="s">
        <v>283</v>
      </c>
      <c r="D59" s="25" t="s">
        <v>86</v>
      </c>
      <c r="E59" s="25">
        <v>93.0</v>
      </c>
      <c r="F59" s="25">
        <v>93.0</v>
      </c>
      <c r="G59" s="25"/>
      <c r="H59" s="25" t="s">
        <v>71</v>
      </c>
      <c r="I59" s="25" t="s">
        <v>284</v>
      </c>
      <c r="J59" s="25">
        <v>60.0</v>
      </c>
      <c r="K59" s="28">
        <v>11777.68</v>
      </c>
      <c r="L59" s="29">
        <v>11528.64</v>
      </c>
      <c r="M59" s="29">
        <f t="shared" si="1"/>
        <v>249.04</v>
      </c>
      <c r="N59" s="29">
        <f t="shared" si="2"/>
        <v>14942.4</v>
      </c>
      <c r="O59" s="28">
        <v>2261.6</v>
      </c>
      <c r="P59" s="28">
        <v>3951.13</v>
      </c>
      <c r="Q59" s="28">
        <v>3106.04</v>
      </c>
      <c r="R59" s="28">
        <v>2458.87</v>
      </c>
      <c r="S59" s="28">
        <v>1418.0</v>
      </c>
      <c r="T59" s="28">
        <v>382.04</v>
      </c>
    </row>
    <row r="60" ht="22.5" customHeight="1">
      <c r="A60" s="25">
        <v>57.0</v>
      </c>
      <c r="B60" s="25" t="s">
        <v>2</v>
      </c>
      <c r="C60" s="25" t="s">
        <v>112</v>
      </c>
      <c r="D60" s="25" t="s">
        <v>86</v>
      </c>
      <c r="E60" s="30">
        <v>139.0</v>
      </c>
      <c r="F60" s="25">
        <v>137.0</v>
      </c>
      <c r="G60" s="30">
        <v>2.0</v>
      </c>
      <c r="H60" s="25" t="s">
        <v>71</v>
      </c>
      <c r="I60" s="25" t="s">
        <v>114</v>
      </c>
      <c r="J60" s="25">
        <v>80.0</v>
      </c>
      <c r="K60" s="28">
        <v>10404.63</v>
      </c>
      <c r="L60" s="29">
        <v>10397.13</v>
      </c>
      <c r="M60" s="29">
        <f t="shared" si="1"/>
        <v>7.5</v>
      </c>
      <c r="N60" s="29">
        <f t="shared" si="2"/>
        <v>600</v>
      </c>
      <c r="O60" s="28">
        <v>1239.54</v>
      </c>
      <c r="P60" s="28">
        <v>4369.05</v>
      </c>
      <c r="Q60" s="28">
        <v>2233.49</v>
      </c>
      <c r="R60" s="28">
        <v>2562.53</v>
      </c>
      <c r="S60" s="28">
        <v>1315.69</v>
      </c>
      <c r="T60" s="28">
        <v>23.74</v>
      </c>
    </row>
    <row r="61" ht="22.5" customHeight="1">
      <c r="A61" s="25">
        <v>58.0</v>
      </c>
      <c r="B61" s="25" t="s">
        <v>2</v>
      </c>
      <c r="C61" s="25" t="s">
        <v>88</v>
      </c>
      <c r="D61" s="25" t="s">
        <v>86</v>
      </c>
      <c r="E61" s="30">
        <v>87.0</v>
      </c>
      <c r="F61" s="25">
        <v>85.0</v>
      </c>
      <c r="G61" s="30">
        <v>2.0</v>
      </c>
      <c r="H61" s="25" t="s">
        <v>71</v>
      </c>
      <c r="I61" s="25" t="s">
        <v>89</v>
      </c>
      <c r="J61" s="25">
        <v>80.0</v>
      </c>
      <c r="K61" s="28">
        <v>7309.94</v>
      </c>
      <c r="L61" s="29">
        <v>7309.94</v>
      </c>
      <c r="M61" s="29">
        <f t="shared" si="1"/>
        <v>0</v>
      </c>
      <c r="N61" s="29">
        <f t="shared" si="2"/>
        <v>0</v>
      </c>
      <c r="O61" s="28">
        <v>1053.87</v>
      </c>
      <c r="P61" s="28">
        <v>2346.11</v>
      </c>
      <c r="Q61" s="28">
        <v>1826.5</v>
      </c>
      <c r="R61" s="28">
        <v>2083.43</v>
      </c>
      <c r="S61" s="28">
        <v>271.27</v>
      </c>
      <c r="T61" s="28">
        <v>9010.44</v>
      </c>
    </row>
    <row r="62" ht="22.5" customHeight="1">
      <c r="A62" s="25">
        <v>59.0</v>
      </c>
      <c r="B62" s="25" t="s">
        <v>2</v>
      </c>
      <c r="C62" s="25" t="s">
        <v>288</v>
      </c>
      <c r="D62" s="25" t="s">
        <v>92</v>
      </c>
      <c r="E62" s="30">
        <v>106.0</v>
      </c>
      <c r="F62" s="25">
        <v>104.0</v>
      </c>
      <c r="G62" s="30">
        <v>2.0</v>
      </c>
      <c r="H62" s="25" t="s">
        <v>71</v>
      </c>
      <c r="I62" s="25" t="s">
        <v>292</v>
      </c>
      <c r="J62" s="25">
        <v>60.0</v>
      </c>
      <c r="K62" s="28">
        <v>9407.89</v>
      </c>
      <c r="L62" s="29">
        <v>9149.86</v>
      </c>
      <c r="M62" s="29">
        <f t="shared" si="1"/>
        <v>258.03</v>
      </c>
      <c r="N62" s="29">
        <f t="shared" si="2"/>
        <v>15481.8</v>
      </c>
      <c r="O62" s="28">
        <v>1836.34</v>
      </c>
      <c r="P62" s="28">
        <v>3154.66</v>
      </c>
      <c r="Q62" s="28">
        <v>2666.47</v>
      </c>
      <c r="R62" s="28">
        <v>1750.41</v>
      </c>
      <c r="S62" s="28">
        <v>807.62</v>
      </c>
      <c r="T62" s="28">
        <v>17.49</v>
      </c>
    </row>
    <row r="63" ht="22.5" customHeight="1">
      <c r="A63" s="25">
        <v>60.0</v>
      </c>
      <c r="B63" s="25" t="s">
        <v>2</v>
      </c>
      <c r="C63" s="25" t="s">
        <v>293</v>
      </c>
      <c r="D63" s="25" t="s">
        <v>122</v>
      </c>
      <c r="E63" s="30">
        <v>34.0</v>
      </c>
      <c r="F63" s="25">
        <v>31.0</v>
      </c>
      <c r="G63" s="30">
        <v>3.0</v>
      </c>
      <c r="H63" s="25" t="s">
        <v>71</v>
      </c>
      <c r="I63" s="25" t="s">
        <v>294</v>
      </c>
      <c r="J63" s="25">
        <v>80.0</v>
      </c>
      <c r="K63" s="28">
        <v>4956.65</v>
      </c>
      <c r="L63" s="29">
        <v>4704.73</v>
      </c>
      <c r="M63" s="29">
        <f t="shared" si="1"/>
        <v>251.92</v>
      </c>
      <c r="N63" s="29">
        <f t="shared" si="2"/>
        <v>20153.6</v>
      </c>
      <c r="O63" s="28">
        <v>672.55</v>
      </c>
      <c r="P63" s="28">
        <v>1407.56</v>
      </c>
      <c r="Q63" s="28">
        <v>1225.71</v>
      </c>
      <c r="R63" s="28">
        <v>1650.8</v>
      </c>
      <c r="S63" s="28">
        <v>230.17</v>
      </c>
      <c r="T63" s="28">
        <v>109.83</v>
      </c>
    </row>
    <row r="64" ht="22.5" customHeight="1">
      <c r="A64" s="25">
        <v>61.0</v>
      </c>
      <c r="B64" s="25" t="s">
        <v>2</v>
      </c>
      <c r="C64" s="25" t="s">
        <v>298</v>
      </c>
      <c r="D64" s="25" t="s">
        <v>92</v>
      </c>
      <c r="E64" s="30">
        <v>80.0</v>
      </c>
      <c r="F64" s="25">
        <v>76.0</v>
      </c>
      <c r="G64" s="30">
        <v>4.0</v>
      </c>
      <c r="H64" s="25" t="s">
        <v>71</v>
      </c>
      <c r="I64" s="25" t="s">
        <v>299</v>
      </c>
      <c r="J64" s="25">
        <v>60.0</v>
      </c>
      <c r="K64" s="28">
        <v>16458.45</v>
      </c>
      <c r="L64" s="29">
        <v>16226.57</v>
      </c>
      <c r="M64" s="29">
        <f t="shared" si="1"/>
        <v>231.88</v>
      </c>
      <c r="N64" s="29">
        <f t="shared" si="2"/>
        <v>13912.8</v>
      </c>
      <c r="O64" s="28">
        <v>2934.58</v>
      </c>
      <c r="P64" s="28">
        <v>5425.2</v>
      </c>
      <c r="Q64" s="28">
        <v>4262.08</v>
      </c>
      <c r="R64" s="28">
        <v>3836.58</v>
      </c>
      <c r="S64" s="28">
        <v>1651.2</v>
      </c>
      <c r="T64" s="28">
        <v>55.59</v>
      </c>
    </row>
    <row r="65" ht="22.5" customHeight="1">
      <c r="A65" s="25">
        <v>62.0</v>
      </c>
      <c r="B65" s="25" t="s">
        <v>2</v>
      </c>
      <c r="C65" s="25" t="s">
        <v>165</v>
      </c>
      <c r="D65" s="25" t="s">
        <v>86</v>
      </c>
      <c r="E65" s="30">
        <v>108.0</v>
      </c>
      <c r="F65" s="25">
        <v>106.0</v>
      </c>
      <c r="G65" s="30">
        <v>2.0</v>
      </c>
      <c r="H65" s="25" t="s">
        <v>71</v>
      </c>
      <c r="I65" s="25" t="s">
        <v>166</v>
      </c>
      <c r="J65" s="25">
        <v>80.0</v>
      </c>
      <c r="K65" s="28">
        <v>7670.72</v>
      </c>
      <c r="L65" s="29">
        <v>7420.62</v>
      </c>
      <c r="M65" s="29">
        <f t="shared" si="1"/>
        <v>250.1</v>
      </c>
      <c r="N65" s="29">
        <f t="shared" si="2"/>
        <v>20008</v>
      </c>
      <c r="O65" s="28">
        <v>1587.22</v>
      </c>
      <c r="P65" s="28">
        <v>2535.39</v>
      </c>
      <c r="Q65" s="28">
        <v>2028.9</v>
      </c>
      <c r="R65" s="28">
        <v>1519.19</v>
      </c>
      <c r="S65" s="28">
        <v>6722.23</v>
      </c>
      <c r="T65" s="28">
        <v>17.24</v>
      </c>
    </row>
    <row r="66" ht="22.5" customHeight="1">
      <c r="A66" s="25">
        <v>63.0</v>
      </c>
      <c r="B66" s="25" t="s">
        <v>2</v>
      </c>
      <c r="C66" s="25" t="s">
        <v>77</v>
      </c>
      <c r="D66" s="25" t="s">
        <v>86</v>
      </c>
      <c r="E66" s="30">
        <v>109.0</v>
      </c>
      <c r="F66" s="25">
        <v>108.0</v>
      </c>
      <c r="G66" s="30">
        <v>1.0</v>
      </c>
      <c r="H66" s="25" t="s">
        <v>71</v>
      </c>
      <c r="I66" s="25" t="s">
        <v>79</v>
      </c>
      <c r="J66" s="25">
        <f>400/5</f>
        <v>80</v>
      </c>
      <c r="K66" s="28">
        <v>6823.19</v>
      </c>
      <c r="L66" s="29">
        <v>6823.19</v>
      </c>
      <c r="M66" s="29">
        <f t="shared" si="1"/>
        <v>0</v>
      </c>
      <c r="N66" s="29">
        <f t="shared" si="2"/>
        <v>0</v>
      </c>
      <c r="O66" s="28">
        <v>930.77</v>
      </c>
      <c r="P66" s="28">
        <v>2588.3</v>
      </c>
      <c r="Q66" s="28">
        <v>1492.4</v>
      </c>
      <c r="R66" s="28">
        <v>1811.69</v>
      </c>
      <c r="S66" s="28">
        <v>1659.97</v>
      </c>
      <c r="T66" s="28">
        <v>4749.0</v>
      </c>
    </row>
    <row r="67" ht="22.5" customHeight="1">
      <c r="A67" s="25">
        <v>64.0</v>
      </c>
      <c r="B67" s="25" t="s">
        <v>2</v>
      </c>
      <c r="C67" s="25" t="s">
        <v>307</v>
      </c>
      <c r="D67" s="25" t="s">
        <v>86</v>
      </c>
      <c r="E67" s="30">
        <v>72.0</v>
      </c>
      <c r="F67" s="25">
        <v>66.0</v>
      </c>
      <c r="G67" s="30">
        <v>6.0</v>
      </c>
      <c r="H67" s="25" t="s">
        <v>71</v>
      </c>
      <c r="I67" s="25" t="s">
        <v>308</v>
      </c>
      <c r="J67" s="25">
        <v>40.0</v>
      </c>
      <c r="K67" s="28">
        <v>35130.88</v>
      </c>
      <c r="L67" s="29">
        <v>34627.55</v>
      </c>
      <c r="M67" s="29">
        <f t="shared" si="1"/>
        <v>503.33</v>
      </c>
      <c r="N67" s="29">
        <f t="shared" si="2"/>
        <v>20133.2</v>
      </c>
      <c r="O67" s="28">
        <v>8581.43</v>
      </c>
      <c r="P67" s="28">
        <v>12714.87</v>
      </c>
      <c r="Q67" s="28">
        <v>9989.87</v>
      </c>
      <c r="R67" s="28">
        <v>3844.68</v>
      </c>
      <c r="S67" s="28">
        <v>10618.09</v>
      </c>
      <c r="T67" s="28">
        <v>614.48</v>
      </c>
    </row>
    <row r="68" ht="22.5" customHeight="1">
      <c r="A68" s="25">
        <v>65.0</v>
      </c>
      <c r="B68" s="25" t="s">
        <v>2</v>
      </c>
      <c r="C68" s="25" t="s">
        <v>172</v>
      </c>
      <c r="D68" s="25" t="s">
        <v>86</v>
      </c>
      <c r="E68" s="30">
        <v>89.0</v>
      </c>
      <c r="F68" s="25">
        <v>85.0</v>
      </c>
      <c r="G68" s="30">
        <v>4.0</v>
      </c>
      <c r="H68" s="25" t="s">
        <v>71</v>
      </c>
      <c r="I68" s="25" t="s">
        <v>173</v>
      </c>
      <c r="J68" s="25">
        <v>40.0</v>
      </c>
      <c r="K68" s="28">
        <v>12927.99</v>
      </c>
      <c r="L68" s="29">
        <v>12731.61</v>
      </c>
      <c r="M68" s="29">
        <f t="shared" si="1"/>
        <v>196.38</v>
      </c>
      <c r="N68" s="29">
        <f t="shared" si="2"/>
        <v>7855.2</v>
      </c>
      <c r="O68" s="28">
        <v>2697.61</v>
      </c>
      <c r="P68" s="28">
        <v>4590.67</v>
      </c>
      <c r="Q68" s="28">
        <v>3884.33</v>
      </c>
      <c r="R68" s="28">
        <v>1755.34</v>
      </c>
      <c r="S68" s="28">
        <v>9123.35</v>
      </c>
      <c r="T68" s="28">
        <v>4560.47</v>
      </c>
    </row>
    <row r="69" ht="22.5" customHeight="1">
      <c r="A69" s="25">
        <v>66.0</v>
      </c>
      <c r="B69" s="25" t="s">
        <v>2</v>
      </c>
      <c r="C69" s="25" t="s">
        <v>312</v>
      </c>
      <c r="D69" s="25" t="s">
        <v>92</v>
      </c>
      <c r="E69" s="30">
        <v>87.0</v>
      </c>
      <c r="F69" s="25">
        <v>85.0</v>
      </c>
      <c r="G69" s="30">
        <v>2.0</v>
      </c>
      <c r="H69" s="25" t="s">
        <v>71</v>
      </c>
      <c r="I69" s="25" t="s">
        <v>313</v>
      </c>
      <c r="J69" s="25">
        <v>40.0</v>
      </c>
      <c r="K69" s="28">
        <v>32309.95</v>
      </c>
      <c r="L69" s="29">
        <v>31501.33</v>
      </c>
      <c r="M69" s="29">
        <f t="shared" si="1"/>
        <v>808.62</v>
      </c>
      <c r="N69" s="29">
        <f t="shared" si="2"/>
        <v>32344.8</v>
      </c>
      <c r="O69" s="28">
        <v>6968.38</v>
      </c>
      <c r="P69" s="28">
        <v>11153.7</v>
      </c>
      <c r="Q69" s="28">
        <v>10607.14</v>
      </c>
      <c r="R69" s="28">
        <v>3580.71</v>
      </c>
      <c r="S69" s="28">
        <v>2931.47</v>
      </c>
      <c r="T69" s="28">
        <v>33.46</v>
      </c>
    </row>
    <row r="70" ht="22.5" customHeight="1">
      <c r="A70" s="25">
        <v>67.0</v>
      </c>
      <c r="B70" s="25" t="s">
        <v>2</v>
      </c>
      <c r="C70" s="25" t="s">
        <v>317</v>
      </c>
      <c r="D70" s="25" t="s">
        <v>122</v>
      </c>
      <c r="E70" s="30">
        <v>46.0</v>
      </c>
      <c r="F70" s="25">
        <v>42.0</v>
      </c>
      <c r="G70" s="30">
        <v>4.0</v>
      </c>
      <c r="H70" s="25" t="s">
        <v>71</v>
      </c>
      <c r="I70" s="25" t="s">
        <v>318</v>
      </c>
      <c r="J70" s="25">
        <v>40.0</v>
      </c>
      <c r="K70" s="28">
        <v>35265.14</v>
      </c>
      <c r="L70" s="29">
        <v>34960.34</v>
      </c>
      <c r="M70" s="29">
        <f t="shared" si="1"/>
        <v>304.8</v>
      </c>
      <c r="N70" s="29">
        <f t="shared" si="2"/>
        <v>12192</v>
      </c>
      <c r="O70" s="28">
        <v>7937.78</v>
      </c>
      <c r="P70" s="28">
        <v>11304.23</v>
      </c>
      <c r="Q70" s="28">
        <v>9205.23</v>
      </c>
      <c r="R70" s="28">
        <v>6817.89</v>
      </c>
      <c r="S70" s="28">
        <v>1219.14</v>
      </c>
      <c r="T70" s="28">
        <v>356.01</v>
      </c>
    </row>
    <row r="71" ht="22.5" customHeight="1">
      <c r="A71" s="25">
        <v>68.0</v>
      </c>
      <c r="B71" s="25" t="s">
        <v>2</v>
      </c>
      <c r="C71" s="25" t="s">
        <v>254</v>
      </c>
      <c r="D71" s="25" t="s">
        <v>92</v>
      </c>
      <c r="E71" s="30">
        <v>13.0</v>
      </c>
      <c r="F71" s="25">
        <v>12.0</v>
      </c>
      <c r="G71" s="30">
        <v>1.0</v>
      </c>
      <c r="H71" s="25" t="s">
        <v>71</v>
      </c>
      <c r="I71" s="25" t="s">
        <v>255</v>
      </c>
      <c r="J71" s="25">
        <v>40.0</v>
      </c>
      <c r="K71" s="28">
        <v>12047.53</v>
      </c>
      <c r="L71" s="29">
        <v>11787.75</v>
      </c>
      <c r="M71" s="29">
        <f t="shared" si="1"/>
        <v>259.78</v>
      </c>
      <c r="N71" s="29">
        <f t="shared" si="2"/>
        <v>10391.2</v>
      </c>
      <c r="O71" s="28">
        <v>2185.58</v>
      </c>
      <c r="P71" s="28">
        <v>4037.36</v>
      </c>
      <c r="Q71" s="28">
        <v>3331.2</v>
      </c>
      <c r="R71" s="28">
        <v>2493.36</v>
      </c>
      <c r="S71" s="28">
        <v>437.13</v>
      </c>
      <c r="T71" s="28">
        <v>670.28</v>
      </c>
    </row>
    <row r="72" ht="22.5" customHeight="1">
      <c r="A72" s="25">
        <v>69.0</v>
      </c>
      <c r="B72" s="25" t="s">
        <v>2</v>
      </c>
      <c r="C72" s="25" t="s">
        <v>322</v>
      </c>
      <c r="D72" s="25" t="s">
        <v>92</v>
      </c>
      <c r="E72" s="30">
        <v>74.0</v>
      </c>
      <c r="F72" s="25">
        <v>70.0</v>
      </c>
      <c r="G72" s="30">
        <v>4.0</v>
      </c>
      <c r="H72" s="25" t="s">
        <v>71</v>
      </c>
      <c r="I72" s="25" t="s">
        <v>323</v>
      </c>
      <c r="J72" s="25">
        <v>80.0</v>
      </c>
      <c r="K72" s="28">
        <v>23506.35</v>
      </c>
      <c r="L72" s="29">
        <v>23055.36</v>
      </c>
      <c r="M72" s="29">
        <f t="shared" si="1"/>
        <v>450.99</v>
      </c>
      <c r="N72" s="29">
        <f t="shared" si="2"/>
        <v>36079.2</v>
      </c>
      <c r="O72" s="28">
        <v>4800.39</v>
      </c>
      <c r="P72" s="28">
        <v>7988.84</v>
      </c>
      <c r="Q72" s="28">
        <v>6664.32</v>
      </c>
      <c r="R72" s="28">
        <v>4052.78</v>
      </c>
      <c r="S72" s="28">
        <v>2034.82</v>
      </c>
      <c r="T72" s="28">
        <v>33.66</v>
      </c>
    </row>
    <row r="73" ht="22.5" customHeight="1">
      <c r="A73" s="25">
        <v>70.0</v>
      </c>
      <c r="B73" s="25" t="s">
        <v>2</v>
      </c>
      <c r="C73" s="25" t="s">
        <v>325</v>
      </c>
      <c r="D73" s="25" t="s">
        <v>92</v>
      </c>
      <c r="E73" s="30">
        <v>101.0</v>
      </c>
      <c r="F73" s="25">
        <v>96.0</v>
      </c>
      <c r="G73" s="30">
        <v>5.0</v>
      </c>
      <c r="H73" s="25" t="s">
        <v>71</v>
      </c>
      <c r="I73" s="25" t="s">
        <v>326</v>
      </c>
      <c r="J73" s="25">
        <v>60.0</v>
      </c>
      <c r="K73" s="28">
        <v>36469.63</v>
      </c>
      <c r="L73" s="29">
        <v>35972.15</v>
      </c>
      <c r="M73" s="29">
        <f t="shared" si="1"/>
        <v>497.48</v>
      </c>
      <c r="N73" s="29">
        <f t="shared" si="2"/>
        <v>29848.8</v>
      </c>
      <c r="O73" s="28">
        <v>7966.96</v>
      </c>
      <c r="P73" s="28">
        <v>12634.42</v>
      </c>
      <c r="Q73" s="28">
        <v>9975.86</v>
      </c>
      <c r="R73" s="28">
        <v>5892.38</v>
      </c>
      <c r="S73" s="28">
        <v>5528.73</v>
      </c>
      <c r="T73" s="28">
        <v>20.59</v>
      </c>
    </row>
    <row r="74" ht="22.5" customHeight="1">
      <c r="A74" s="25">
        <v>71.0</v>
      </c>
      <c r="B74" s="25" t="s">
        <v>2</v>
      </c>
      <c r="C74" s="25" t="s">
        <v>327</v>
      </c>
      <c r="D74" s="25" t="s">
        <v>122</v>
      </c>
      <c r="E74" s="30">
        <v>81.0</v>
      </c>
      <c r="F74" s="25">
        <v>80.0</v>
      </c>
      <c r="G74" s="30">
        <v>1.0</v>
      </c>
      <c r="H74" s="25" t="s">
        <v>71</v>
      </c>
      <c r="I74" s="25" t="s">
        <v>328</v>
      </c>
      <c r="J74" s="25">
        <v>40.0</v>
      </c>
      <c r="K74" s="28">
        <v>31949.45</v>
      </c>
      <c r="L74" s="29">
        <v>31361.06</v>
      </c>
      <c r="M74" s="29">
        <f t="shared" si="1"/>
        <v>588.39</v>
      </c>
      <c r="N74" s="29">
        <f t="shared" si="2"/>
        <v>23535.6</v>
      </c>
      <c r="O74" s="28">
        <v>6160.82</v>
      </c>
      <c r="P74" s="28">
        <v>11649.98</v>
      </c>
      <c r="Q74" s="28">
        <v>9682.99</v>
      </c>
      <c r="R74" s="28">
        <v>4455.66</v>
      </c>
      <c r="S74" s="28">
        <v>7029.49</v>
      </c>
      <c r="T74" s="28">
        <v>6.33</v>
      </c>
    </row>
    <row r="75" ht="22.5" customHeight="1">
      <c r="A75" s="25">
        <v>72.0</v>
      </c>
      <c r="B75" s="25" t="s">
        <v>2</v>
      </c>
      <c r="C75" s="25" t="s">
        <v>330</v>
      </c>
      <c r="D75" s="25" t="s">
        <v>92</v>
      </c>
      <c r="E75" s="30">
        <v>95.0</v>
      </c>
      <c r="F75" s="25">
        <v>94.0</v>
      </c>
      <c r="G75" s="30">
        <v>1.0</v>
      </c>
      <c r="H75" s="25" t="s">
        <v>71</v>
      </c>
      <c r="I75" s="25" t="s">
        <v>331</v>
      </c>
      <c r="J75" s="25">
        <v>60.0</v>
      </c>
      <c r="K75" s="28">
        <v>19026.78</v>
      </c>
      <c r="L75" s="29">
        <v>18721.35</v>
      </c>
      <c r="M75" s="29">
        <f t="shared" si="1"/>
        <v>305.43</v>
      </c>
      <c r="N75" s="29">
        <f t="shared" si="2"/>
        <v>18325.8</v>
      </c>
      <c r="O75" s="28">
        <v>3338.34</v>
      </c>
      <c r="P75" s="28">
        <v>6271.53</v>
      </c>
      <c r="Q75" s="28">
        <v>4996.68</v>
      </c>
      <c r="R75" s="28">
        <v>4420.23</v>
      </c>
      <c r="S75" s="28">
        <v>775.84</v>
      </c>
      <c r="T75" s="28">
        <v>20.01</v>
      </c>
    </row>
    <row r="76" ht="22.5" customHeight="1">
      <c r="A76" s="25">
        <v>73.0</v>
      </c>
      <c r="B76" s="25" t="s">
        <v>2</v>
      </c>
      <c r="C76" s="25" t="s">
        <v>335</v>
      </c>
      <c r="D76" s="25" t="s">
        <v>86</v>
      </c>
      <c r="E76" s="30">
        <v>43.0</v>
      </c>
      <c r="F76" s="25">
        <v>41.0</v>
      </c>
      <c r="G76" s="30">
        <v>2.0</v>
      </c>
      <c r="H76" s="25" t="s">
        <v>71</v>
      </c>
      <c r="I76" s="25" t="s">
        <v>336</v>
      </c>
      <c r="J76" s="25">
        <v>60.0</v>
      </c>
      <c r="K76" s="28">
        <v>24198.91</v>
      </c>
      <c r="L76" s="29">
        <v>23983.54</v>
      </c>
      <c r="M76" s="29">
        <f t="shared" si="1"/>
        <v>215.37</v>
      </c>
      <c r="N76" s="29">
        <f t="shared" si="2"/>
        <v>12922.2</v>
      </c>
      <c r="O76" s="28">
        <v>5434.24</v>
      </c>
      <c r="P76" s="28">
        <v>7998.39</v>
      </c>
      <c r="Q76" s="28">
        <v>6532.07</v>
      </c>
      <c r="R76" s="28">
        <v>4234.17</v>
      </c>
      <c r="S76" s="28">
        <v>14628.88</v>
      </c>
      <c r="T76" s="28">
        <v>5970.12</v>
      </c>
    </row>
    <row r="77" ht="22.5" customHeight="1">
      <c r="A77" s="25">
        <v>74.0</v>
      </c>
      <c r="B77" s="25" t="s">
        <v>2</v>
      </c>
      <c r="C77" s="25" t="s">
        <v>337</v>
      </c>
      <c r="D77" s="25" t="s">
        <v>86</v>
      </c>
      <c r="E77" s="25">
        <v>46.0</v>
      </c>
      <c r="F77" s="25">
        <v>46.0</v>
      </c>
      <c r="G77" s="25"/>
      <c r="H77" s="25" t="s">
        <v>71</v>
      </c>
      <c r="I77" s="25" t="s">
        <v>338</v>
      </c>
      <c r="J77" s="25">
        <v>40.0</v>
      </c>
      <c r="K77" s="28">
        <v>14714.01</v>
      </c>
      <c r="L77" s="29">
        <v>14515.76</v>
      </c>
      <c r="M77" s="29">
        <f t="shared" si="1"/>
        <v>198.25</v>
      </c>
      <c r="N77" s="29">
        <f t="shared" si="2"/>
        <v>7930</v>
      </c>
      <c r="O77" s="28">
        <v>3217.22</v>
      </c>
      <c r="P77" s="28">
        <v>5036.89</v>
      </c>
      <c r="Q77" s="28">
        <v>4105.98</v>
      </c>
      <c r="R77" s="28">
        <v>2353.92</v>
      </c>
      <c r="S77" s="28">
        <v>1431.14</v>
      </c>
      <c r="T77" s="28">
        <v>154.27</v>
      </c>
    </row>
    <row r="78" ht="22.5" customHeight="1">
      <c r="A78" s="25">
        <v>75.0</v>
      </c>
      <c r="B78" s="25" t="s">
        <v>2</v>
      </c>
      <c r="C78" s="25" t="s">
        <v>340</v>
      </c>
      <c r="D78" s="25" t="s">
        <v>92</v>
      </c>
      <c r="E78" s="30">
        <v>39.0</v>
      </c>
      <c r="F78" s="25">
        <v>38.0</v>
      </c>
      <c r="G78" s="30">
        <v>1.0</v>
      </c>
      <c r="H78" s="25" t="s">
        <v>71</v>
      </c>
      <c r="I78" s="25" t="s">
        <v>341</v>
      </c>
      <c r="J78" s="25">
        <v>80.0</v>
      </c>
      <c r="K78" s="28">
        <v>29032.93</v>
      </c>
      <c r="L78" s="29">
        <v>28299.43</v>
      </c>
      <c r="M78" s="29">
        <f t="shared" si="1"/>
        <v>733.5</v>
      </c>
      <c r="N78" s="29">
        <f t="shared" si="2"/>
        <v>58680</v>
      </c>
      <c r="O78" s="28">
        <v>5573.0</v>
      </c>
      <c r="P78" s="28">
        <v>10016.42</v>
      </c>
      <c r="Q78" s="28">
        <v>8440.78</v>
      </c>
      <c r="R78" s="28">
        <v>5002.71</v>
      </c>
      <c r="S78" s="28">
        <v>3584.21</v>
      </c>
      <c r="T78" s="28">
        <v>24.15</v>
      </c>
    </row>
    <row r="79" ht="22.5" customHeight="1">
      <c r="A79" s="25">
        <v>76.0</v>
      </c>
      <c r="B79" s="25" t="s">
        <v>2</v>
      </c>
      <c r="C79" s="25" t="s">
        <v>343</v>
      </c>
      <c r="D79" s="25" t="s">
        <v>86</v>
      </c>
      <c r="E79" s="30">
        <v>62.0</v>
      </c>
      <c r="F79" s="25">
        <v>61.0</v>
      </c>
      <c r="G79" s="30">
        <v>1.0</v>
      </c>
      <c r="H79" s="25" t="s">
        <v>71</v>
      </c>
      <c r="I79" s="25" t="s">
        <v>344</v>
      </c>
      <c r="J79" s="25">
        <v>40.0</v>
      </c>
      <c r="K79" s="28">
        <v>21405.57</v>
      </c>
      <c r="L79" s="29">
        <v>21121.2</v>
      </c>
      <c r="M79" s="29">
        <f t="shared" si="1"/>
        <v>284.37</v>
      </c>
      <c r="N79" s="29">
        <f t="shared" si="2"/>
        <v>11374.8</v>
      </c>
      <c r="O79" s="28">
        <v>4406.88</v>
      </c>
      <c r="P79" s="28">
        <v>7205.58</v>
      </c>
      <c r="Q79" s="28">
        <v>5862.3</v>
      </c>
      <c r="R79" s="28">
        <v>3930.78</v>
      </c>
      <c r="S79" s="28">
        <v>1013.11</v>
      </c>
      <c r="T79" s="28">
        <v>246.98</v>
      </c>
    </row>
    <row r="80" ht="22.5" customHeight="1">
      <c r="A80" s="25">
        <v>77.0</v>
      </c>
      <c r="B80" s="25" t="s">
        <v>2</v>
      </c>
      <c r="C80" s="25" t="s">
        <v>346</v>
      </c>
      <c r="D80" s="25" t="s">
        <v>86</v>
      </c>
      <c r="E80" s="30">
        <v>131.0</v>
      </c>
      <c r="F80" s="25">
        <v>121.0</v>
      </c>
      <c r="G80" s="30">
        <v>10.0</v>
      </c>
      <c r="H80" s="25" t="s">
        <v>71</v>
      </c>
      <c r="I80" s="25" t="s">
        <v>349</v>
      </c>
      <c r="J80" s="25">
        <v>60.0</v>
      </c>
      <c r="K80" s="28">
        <v>1959.68</v>
      </c>
      <c r="L80" s="29">
        <v>1843.73</v>
      </c>
      <c r="M80" s="29">
        <f t="shared" si="1"/>
        <v>115.95</v>
      </c>
      <c r="N80" s="29">
        <f t="shared" si="2"/>
        <v>6957</v>
      </c>
      <c r="O80" s="28">
        <v>264.01</v>
      </c>
      <c r="P80" s="28">
        <v>580.94</v>
      </c>
      <c r="Q80" s="28">
        <v>495.44</v>
      </c>
      <c r="R80" s="28">
        <v>619.27</v>
      </c>
      <c r="S80" s="28">
        <v>121.63</v>
      </c>
      <c r="T80" s="28">
        <v>136.42</v>
      </c>
    </row>
    <row r="81" ht="22.5" customHeight="1">
      <c r="A81" s="25">
        <v>78.0</v>
      </c>
      <c r="B81" s="25" t="s">
        <v>2</v>
      </c>
      <c r="C81" s="25" t="s">
        <v>138</v>
      </c>
      <c r="D81" s="25" t="s">
        <v>86</v>
      </c>
      <c r="E81" s="25">
        <v>139.0</v>
      </c>
      <c r="F81" s="25">
        <v>139.0</v>
      </c>
      <c r="G81" s="25"/>
      <c r="H81" s="25" t="s">
        <v>71</v>
      </c>
      <c r="I81" s="25" t="s">
        <v>139</v>
      </c>
      <c r="J81" s="25">
        <v>70.0</v>
      </c>
      <c r="K81" s="28">
        <v>12716.45</v>
      </c>
      <c r="L81" s="29">
        <v>12444.09</v>
      </c>
      <c r="M81" s="29">
        <f t="shared" si="1"/>
        <v>272.36</v>
      </c>
      <c r="N81" s="29">
        <f t="shared" si="2"/>
        <v>19065.2</v>
      </c>
      <c r="O81" s="28">
        <v>2644.59</v>
      </c>
      <c r="P81" s="28">
        <v>4632.8</v>
      </c>
      <c r="Q81" s="28">
        <v>3938.09</v>
      </c>
      <c r="R81" s="28">
        <v>1500.94</v>
      </c>
      <c r="S81" s="28">
        <v>1981.98</v>
      </c>
      <c r="T81" s="28">
        <v>458.96</v>
      </c>
    </row>
    <row r="82" ht="22.5" customHeight="1">
      <c r="A82" s="25">
        <v>79.0</v>
      </c>
      <c r="B82" s="25" t="s">
        <v>2</v>
      </c>
      <c r="C82" s="25" t="s">
        <v>350</v>
      </c>
      <c r="D82" s="25" t="s">
        <v>92</v>
      </c>
      <c r="E82" s="30">
        <v>46.0</v>
      </c>
      <c r="F82" s="25">
        <v>45.0</v>
      </c>
      <c r="G82" s="30">
        <v>1.0</v>
      </c>
      <c r="H82" s="25" t="s">
        <v>71</v>
      </c>
      <c r="I82" s="25" t="s">
        <v>351</v>
      </c>
      <c r="J82" s="25">
        <v>40.0</v>
      </c>
      <c r="K82" s="28">
        <v>18064.17</v>
      </c>
      <c r="L82" s="29">
        <v>17813.25</v>
      </c>
      <c r="M82" s="29">
        <f t="shared" si="1"/>
        <v>250.92</v>
      </c>
      <c r="N82" s="29">
        <f t="shared" si="2"/>
        <v>10036.8</v>
      </c>
      <c r="O82" s="28">
        <v>3825.54</v>
      </c>
      <c r="P82" s="28">
        <v>6176.01</v>
      </c>
      <c r="Q82" s="28">
        <v>5209.69</v>
      </c>
      <c r="R82" s="28">
        <v>2852.9</v>
      </c>
      <c r="S82" s="28">
        <v>1701.28</v>
      </c>
      <c r="T82" s="28">
        <v>98.39</v>
      </c>
    </row>
    <row r="83" ht="22.5" customHeight="1">
      <c r="A83" s="25">
        <v>80.0</v>
      </c>
      <c r="B83" s="25" t="s">
        <v>2</v>
      </c>
      <c r="C83" s="25" t="s">
        <v>355</v>
      </c>
      <c r="D83" s="25" t="s">
        <v>76</v>
      </c>
      <c r="E83" s="30">
        <v>42.0</v>
      </c>
      <c r="F83" s="25">
        <v>40.0</v>
      </c>
      <c r="G83" s="30">
        <v>2.0</v>
      </c>
      <c r="H83" s="25" t="s">
        <v>71</v>
      </c>
      <c r="I83" s="25" t="s">
        <v>356</v>
      </c>
      <c r="J83" s="25">
        <v>40.0</v>
      </c>
      <c r="K83" s="28">
        <v>19285.39</v>
      </c>
      <c r="L83" s="29">
        <v>18893.1</v>
      </c>
      <c r="M83" s="29">
        <f t="shared" si="1"/>
        <v>392.29</v>
      </c>
      <c r="N83" s="29">
        <f t="shared" si="2"/>
        <v>15691.6</v>
      </c>
      <c r="O83" s="28">
        <v>3485.61</v>
      </c>
      <c r="P83" s="28">
        <v>6308.62</v>
      </c>
      <c r="Q83" s="28">
        <v>5245.09</v>
      </c>
      <c r="R83" s="28">
        <v>4246.05</v>
      </c>
      <c r="S83" s="28">
        <v>367.74</v>
      </c>
      <c r="T83" s="28">
        <v>1153.23</v>
      </c>
    </row>
    <row r="84" ht="22.5" customHeight="1">
      <c r="A84" s="25">
        <v>81.0</v>
      </c>
      <c r="B84" s="25" t="s">
        <v>2</v>
      </c>
      <c r="C84" s="25" t="s">
        <v>357</v>
      </c>
      <c r="D84" s="25" t="s">
        <v>92</v>
      </c>
      <c r="E84" s="30">
        <v>86.0</v>
      </c>
      <c r="F84" s="25">
        <v>84.0</v>
      </c>
      <c r="G84" s="30">
        <v>2.0</v>
      </c>
      <c r="H84" s="25" t="s">
        <v>71</v>
      </c>
      <c r="I84" s="25" t="s">
        <v>358</v>
      </c>
      <c r="J84" s="25">
        <v>60.0</v>
      </c>
      <c r="K84" s="28">
        <v>12752.72</v>
      </c>
      <c r="L84" s="29">
        <v>12383.17</v>
      </c>
      <c r="M84" s="29">
        <f t="shared" si="1"/>
        <v>369.55</v>
      </c>
      <c r="N84" s="29">
        <f t="shared" si="2"/>
        <v>22173</v>
      </c>
      <c r="O84" s="28">
        <v>2683.07</v>
      </c>
      <c r="P84" s="28">
        <v>4432.71</v>
      </c>
      <c r="Q84" s="28">
        <v>3307.05</v>
      </c>
      <c r="R84" s="28">
        <v>2329.87</v>
      </c>
      <c r="S84" s="28">
        <v>1248.92</v>
      </c>
      <c r="T84" s="28">
        <v>92.52</v>
      </c>
    </row>
    <row r="85" ht="22.5" customHeight="1">
      <c r="A85" s="25">
        <v>82.0</v>
      </c>
      <c r="B85" s="25" t="s">
        <v>2</v>
      </c>
      <c r="C85" s="25" t="s">
        <v>246</v>
      </c>
      <c r="D85" s="25" t="s">
        <v>92</v>
      </c>
      <c r="E85" s="25">
        <v>50.0</v>
      </c>
      <c r="F85" s="25">
        <v>50.0</v>
      </c>
      <c r="G85" s="25"/>
      <c r="H85" s="25" t="s">
        <v>71</v>
      </c>
      <c r="I85" s="25" t="s">
        <v>247</v>
      </c>
      <c r="J85" s="25">
        <v>80.0</v>
      </c>
      <c r="K85" s="28">
        <v>7822.51</v>
      </c>
      <c r="L85" s="29">
        <v>7685.11</v>
      </c>
      <c r="M85" s="29">
        <f t="shared" si="1"/>
        <v>137.4</v>
      </c>
      <c r="N85" s="29">
        <f t="shared" si="2"/>
        <v>10992</v>
      </c>
      <c r="O85" s="28">
        <v>1367.98</v>
      </c>
      <c r="P85" s="28">
        <v>2676.36</v>
      </c>
      <c r="Q85" s="28">
        <v>2092.72</v>
      </c>
      <c r="R85" s="28">
        <v>1685.42</v>
      </c>
      <c r="S85" s="28">
        <v>420.03</v>
      </c>
      <c r="T85" s="28">
        <v>603.54</v>
      </c>
    </row>
    <row r="86" ht="22.5" customHeight="1">
      <c r="A86" s="25">
        <v>83.0</v>
      </c>
      <c r="B86" s="25" t="s">
        <v>2</v>
      </c>
      <c r="C86" s="25" t="s">
        <v>363</v>
      </c>
      <c r="D86" s="25" t="s">
        <v>92</v>
      </c>
      <c r="E86" s="30">
        <v>47.0</v>
      </c>
      <c r="F86" s="25">
        <v>43.0</v>
      </c>
      <c r="G86" s="30">
        <v>4.0</v>
      </c>
      <c r="H86" s="25" t="s">
        <v>71</v>
      </c>
      <c r="I86" s="25" t="s">
        <v>364</v>
      </c>
      <c r="J86" s="25">
        <v>80.0</v>
      </c>
      <c r="K86" s="28">
        <v>22598.65</v>
      </c>
      <c r="L86" s="29">
        <v>22307.25</v>
      </c>
      <c r="M86" s="29">
        <f t="shared" si="1"/>
        <v>291.4</v>
      </c>
      <c r="N86" s="29">
        <f t="shared" si="2"/>
        <v>23312</v>
      </c>
      <c r="O86" s="28">
        <v>4918.09</v>
      </c>
      <c r="P86" s="28">
        <v>7569.83</v>
      </c>
      <c r="Q86" s="28">
        <v>6171.85</v>
      </c>
      <c r="R86" s="28">
        <v>3938.86</v>
      </c>
      <c r="S86" s="28">
        <v>2033.24</v>
      </c>
      <c r="T86" s="28">
        <v>35.2</v>
      </c>
    </row>
    <row r="87" ht="22.5" customHeight="1">
      <c r="A87" s="25">
        <v>84.0</v>
      </c>
      <c r="B87" s="25" t="s">
        <v>2</v>
      </c>
      <c r="C87" s="25" t="s">
        <v>352</v>
      </c>
      <c r="D87" s="25" t="s">
        <v>122</v>
      </c>
      <c r="E87" s="30">
        <v>37.0</v>
      </c>
      <c r="F87" s="25">
        <v>36.0</v>
      </c>
      <c r="G87" s="30">
        <v>1.0</v>
      </c>
      <c r="H87" s="25" t="s">
        <v>71</v>
      </c>
      <c r="I87" s="25" t="s">
        <v>353</v>
      </c>
      <c r="J87" s="25">
        <v>60.0</v>
      </c>
      <c r="K87" s="28">
        <v>20412.89</v>
      </c>
      <c r="L87" s="29">
        <v>20135.36</v>
      </c>
      <c r="M87" s="29">
        <f t="shared" si="1"/>
        <v>277.53</v>
      </c>
      <c r="N87" s="29">
        <f t="shared" si="2"/>
        <v>16651.8</v>
      </c>
      <c r="O87" s="28">
        <v>4233.57</v>
      </c>
      <c r="P87" s="28">
        <v>6584.97</v>
      </c>
      <c r="Q87" s="28">
        <v>5364.63</v>
      </c>
      <c r="R87" s="28">
        <v>4229.68</v>
      </c>
      <c r="S87" s="28">
        <v>700.65</v>
      </c>
      <c r="T87" s="28">
        <v>421.31</v>
      </c>
    </row>
    <row r="88" ht="22.5" customHeight="1">
      <c r="A88" s="25">
        <v>85.0</v>
      </c>
      <c r="B88" s="25" t="s">
        <v>2</v>
      </c>
      <c r="C88" s="25" t="s">
        <v>366</v>
      </c>
      <c r="D88" s="25" t="s">
        <v>76</v>
      </c>
      <c r="E88" s="25">
        <v>104.0</v>
      </c>
      <c r="F88" s="25">
        <v>104.0</v>
      </c>
      <c r="G88" s="25"/>
      <c r="H88" s="25" t="s">
        <v>71</v>
      </c>
      <c r="I88" s="25" t="s">
        <v>367</v>
      </c>
      <c r="J88" s="25">
        <v>60.0</v>
      </c>
      <c r="K88" s="28">
        <v>18272.71</v>
      </c>
      <c r="L88" s="29">
        <v>17981.17</v>
      </c>
      <c r="M88" s="29">
        <f t="shared" si="1"/>
        <v>291.54</v>
      </c>
      <c r="N88" s="29">
        <f t="shared" si="2"/>
        <v>17492.4</v>
      </c>
      <c r="O88" s="28">
        <v>4246.51</v>
      </c>
      <c r="P88" s="28">
        <v>6257.86</v>
      </c>
      <c r="Q88" s="28">
        <v>5206.25</v>
      </c>
      <c r="R88" s="28">
        <v>2562.07</v>
      </c>
      <c r="S88" s="28">
        <v>707.1</v>
      </c>
      <c r="T88" s="28">
        <v>217.27</v>
      </c>
    </row>
    <row r="89" ht="22.5" customHeight="1">
      <c r="A89" s="25">
        <v>86.0</v>
      </c>
      <c r="B89" s="25" t="s">
        <v>2</v>
      </c>
      <c r="C89" s="25" t="s">
        <v>371</v>
      </c>
      <c r="D89" s="25" t="s">
        <v>86</v>
      </c>
      <c r="E89" s="25">
        <v>10.0</v>
      </c>
      <c r="F89" s="25">
        <v>10.0</v>
      </c>
      <c r="G89" s="25"/>
      <c r="H89" s="25" t="s">
        <v>71</v>
      </c>
      <c r="I89" s="25" t="s">
        <v>372</v>
      </c>
      <c r="J89" s="25">
        <v>30.0</v>
      </c>
      <c r="K89" s="28">
        <v>11996.96</v>
      </c>
      <c r="L89" s="29">
        <v>11807.13</v>
      </c>
      <c r="M89" s="29">
        <f t="shared" si="1"/>
        <v>189.83</v>
      </c>
      <c r="N89" s="29">
        <f t="shared" si="2"/>
        <v>5694.9</v>
      </c>
      <c r="O89" s="28">
        <v>2784.74</v>
      </c>
      <c r="P89" s="28">
        <v>3879.18</v>
      </c>
      <c r="Q89" s="28">
        <v>3114.63</v>
      </c>
      <c r="R89" s="28">
        <v>2218.4</v>
      </c>
      <c r="S89" s="28">
        <v>147.09</v>
      </c>
      <c r="T89" s="28">
        <v>180.35</v>
      </c>
    </row>
    <row r="90" ht="22.5" customHeight="1">
      <c r="A90" s="25">
        <v>87.0</v>
      </c>
      <c r="B90" s="25" t="s">
        <v>2</v>
      </c>
      <c r="C90" s="25" t="s">
        <v>373</v>
      </c>
      <c r="D90" s="25" t="s">
        <v>76</v>
      </c>
      <c r="E90" s="30">
        <v>75.0</v>
      </c>
      <c r="F90" s="25">
        <v>74.0</v>
      </c>
      <c r="G90" s="30">
        <v>1.0</v>
      </c>
      <c r="H90" s="25" t="s">
        <v>71</v>
      </c>
      <c r="I90" s="25" t="s">
        <v>374</v>
      </c>
      <c r="J90" s="25">
        <v>80.0</v>
      </c>
      <c r="K90" s="28">
        <v>12269.72</v>
      </c>
      <c r="L90" s="29">
        <v>12051.46</v>
      </c>
      <c r="M90" s="29">
        <f t="shared" si="1"/>
        <v>218.26</v>
      </c>
      <c r="N90" s="29">
        <f t="shared" si="2"/>
        <v>17460.8</v>
      </c>
      <c r="O90" s="28">
        <v>2733.61</v>
      </c>
      <c r="P90" s="28">
        <v>4326.69</v>
      </c>
      <c r="Q90" s="28">
        <v>3330.27</v>
      </c>
      <c r="R90" s="28">
        <v>1879.12</v>
      </c>
      <c r="S90" s="28">
        <v>1044.22</v>
      </c>
      <c r="T90" s="28">
        <v>237.53</v>
      </c>
    </row>
    <row r="91" ht="22.5" customHeight="1">
      <c r="A91" s="25">
        <v>88.0</v>
      </c>
      <c r="B91" s="25" t="s">
        <v>2</v>
      </c>
      <c r="C91" s="25" t="s">
        <v>377</v>
      </c>
      <c r="D91" s="25" t="s">
        <v>122</v>
      </c>
      <c r="E91" s="30">
        <v>66.0</v>
      </c>
      <c r="F91" s="25">
        <v>65.0</v>
      </c>
      <c r="G91" s="30">
        <v>1.0</v>
      </c>
      <c r="H91" s="25" t="s">
        <v>71</v>
      </c>
      <c r="I91" s="25" t="s">
        <v>378</v>
      </c>
      <c r="J91" s="25">
        <v>60.0</v>
      </c>
      <c r="K91" s="28">
        <v>11566.61</v>
      </c>
      <c r="L91" s="29">
        <v>11349.81</v>
      </c>
      <c r="M91" s="29">
        <f t="shared" si="1"/>
        <v>216.8</v>
      </c>
      <c r="N91" s="29">
        <f t="shared" si="2"/>
        <v>13008</v>
      </c>
      <c r="O91" s="28">
        <v>2735.61</v>
      </c>
      <c r="P91" s="28">
        <v>3905.57</v>
      </c>
      <c r="Q91" s="28">
        <v>3217.57</v>
      </c>
      <c r="R91" s="28">
        <v>1707.84</v>
      </c>
      <c r="S91" s="28">
        <v>1807.6</v>
      </c>
      <c r="T91" s="28">
        <v>140.88</v>
      </c>
    </row>
    <row r="92" ht="22.5" customHeight="1">
      <c r="A92" s="25">
        <v>89.0</v>
      </c>
      <c r="B92" s="25" t="s">
        <v>2</v>
      </c>
      <c r="C92" s="25" t="s">
        <v>380</v>
      </c>
      <c r="D92" s="25" t="s">
        <v>92</v>
      </c>
      <c r="E92" s="25">
        <v>39.0</v>
      </c>
      <c r="F92" s="25">
        <v>39.0</v>
      </c>
      <c r="G92" s="25"/>
      <c r="H92" s="25" t="s">
        <v>71</v>
      </c>
      <c r="I92" s="25" t="s">
        <v>381</v>
      </c>
      <c r="J92" s="25">
        <v>40.0</v>
      </c>
      <c r="K92" s="28">
        <v>2564.16</v>
      </c>
      <c r="L92" s="29">
        <v>2521.4</v>
      </c>
      <c r="M92" s="29">
        <f t="shared" si="1"/>
        <v>42.76</v>
      </c>
      <c r="N92" s="29">
        <f t="shared" si="2"/>
        <v>1710.4</v>
      </c>
      <c r="O92" s="28">
        <v>466.13</v>
      </c>
      <c r="P92" s="28">
        <v>938.23</v>
      </c>
      <c r="Q92" s="28">
        <v>733.69</v>
      </c>
      <c r="R92" s="28">
        <v>426.09</v>
      </c>
      <c r="S92" s="28">
        <v>182.1</v>
      </c>
      <c r="T92" s="28">
        <v>58.78</v>
      </c>
    </row>
    <row r="93" ht="22.5" customHeight="1">
      <c r="A93" s="25">
        <v>90.0</v>
      </c>
      <c r="B93" s="25" t="s">
        <v>2</v>
      </c>
      <c r="C93" s="25" t="s">
        <v>382</v>
      </c>
      <c r="D93" s="25" t="s">
        <v>86</v>
      </c>
      <c r="E93" s="30">
        <v>125.0</v>
      </c>
      <c r="F93" s="25">
        <v>119.0</v>
      </c>
      <c r="G93" s="30">
        <v>6.0</v>
      </c>
      <c r="H93" s="25" t="s">
        <v>71</v>
      </c>
      <c r="I93" s="25" t="s">
        <v>383</v>
      </c>
      <c r="J93" s="25">
        <v>80.0</v>
      </c>
      <c r="K93" s="28">
        <v>16424.9</v>
      </c>
      <c r="L93" s="29">
        <v>16205.07</v>
      </c>
      <c r="M93" s="29">
        <f t="shared" si="1"/>
        <v>219.83</v>
      </c>
      <c r="N93" s="29">
        <f t="shared" si="2"/>
        <v>17586.4</v>
      </c>
      <c r="O93" s="28">
        <v>3931.99</v>
      </c>
      <c r="P93" s="28">
        <v>5368.47</v>
      </c>
      <c r="Q93" s="28">
        <v>4404.28</v>
      </c>
      <c r="R93" s="28">
        <v>2720.14</v>
      </c>
      <c r="S93" s="28">
        <v>839.98</v>
      </c>
      <c r="T93" s="28">
        <v>343.36</v>
      </c>
    </row>
    <row r="94" ht="22.5" customHeight="1">
      <c r="A94" s="25">
        <v>91.0</v>
      </c>
      <c r="B94" s="25" t="s">
        <v>2</v>
      </c>
      <c r="C94" s="25" t="s">
        <v>385</v>
      </c>
      <c r="D94" s="25" t="s">
        <v>122</v>
      </c>
      <c r="E94" s="25">
        <v>31.0</v>
      </c>
      <c r="F94" s="25">
        <v>31.0</v>
      </c>
      <c r="G94" s="25"/>
      <c r="H94" s="25" t="s">
        <v>71</v>
      </c>
      <c r="I94" s="25" t="s">
        <v>386</v>
      </c>
      <c r="J94" s="25">
        <v>80.0</v>
      </c>
      <c r="K94" s="28">
        <v>6581.0</v>
      </c>
      <c r="L94" s="29">
        <v>6481.82</v>
      </c>
      <c r="M94" s="29">
        <f t="shared" si="1"/>
        <v>99.18</v>
      </c>
      <c r="N94" s="29">
        <f t="shared" si="2"/>
        <v>7934.4</v>
      </c>
      <c r="O94" s="28">
        <v>1312.41</v>
      </c>
      <c r="P94" s="28">
        <v>2235.22</v>
      </c>
      <c r="Q94" s="28">
        <v>1906.55</v>
      </c>
      <c r="R94" s="28">
        <v>1126.81</v>
      </c>
      <c r="S94" s="28">
        <v>524.65</v>
      </c>
      <c r="T94" s="28">
        <v>73.14</v>
      </c>
    </row>
    <row r="95" ht="22.5" customHeight="1">
      <c r="A95" s="25">
        <v>92.0</v>
      </c>
      <c r="B95" s="25" t="s">
        <v>2</v>
      </c>
      <c r="C95" s="25" t="s">
        <v>387</v>
      </c>
      <c r="D95" s="25" t="s">
        <v>76</v>
      </c>
      <c r="E95" s="30">
        <v>104.0</v>
      </c>
      <c r="F95" s="25">
        <v>102.0</v>
      </c>
      <c r="G95" s="30">
        <v>2.0</v>
      </c>
      <c r="H95" s="25" t="s">
        <v>71</v>
      </c>
      <c r="I95" s="25" t="s">
        <v>388</v>
      </c>
      <c r="J95" s="25">
        <v>60.0</v>
      </c>
      <c r="K95" s="28">
        <v>23810.45</v>
      </c>
      <c r="L95" s="29">
        <v>23332.26</v>
      </c>
      <c r="M95" s="29">
        <f t="shared" si="1"/>
        <v>478.19</v>
      </c>
      <c r="N95" s="29">
        <f t="shared" si="2"/>
        <v>28691.4</v>
      </c>
      <c r="O95" s="28">
        <v>4932.82</v>
      </c>
      <c r="P95" s="28">
        <v>8721.82</v>
      </c>
      <c r="Q95" s="28">
        <v>7074.17</v>
      </c>
      <c r="R95" s="28">
        <v>3081.61</v>
      </c>
      <c r="S95" s="28">
        <v>2876.28</v>
      </c>
      <c r="T95" s="28">
        <v>47.35</v>
      </c>
    </row>
    <row r="96" ht="22.5" customHeight="1">
      <c r="A96" s="25">
        <v>93.0</v>
      </c>
      <c r="B96" s="25" t="s">
        <v>2</v>
      </c>
      <c r="C96" s="25" t="s">
        <v>392</v>
      </c>
      <c r="D96" s="25" t="s">
        <v>92</v>
      </c>
      <c r="E96" s="25">
        <v>97.0</v>
      </c>
      <c r="F96" s="25">
        <v>97.0</v>
      </c>
      <c r="G96" s="25"/>
      <c r="H96" s="25" t="s">
        <v>71</v>
      </c>
      <c r="I96" s="25" t="s">
        <v>393</v>
      </c>
      <c r="J96" s="25">
        <v>40.0</v>
      </c>
      <c r="K96" s="28">
        <v>38819.78</v>
      </c>
      <c r="L96" s="29">
        <v>37957.13</v>
      </c>
      <c r="M96" s="29">
        <f t="shared" si="1"/>
        <v>862.65</v>
      </c>
      <c r="N96" s="29">
        <f t="shared" si="2"/>
        <v>34506</v>
      </c>
      <c r="O96" s="28">
        <v>8430.7</v>
      </c>
      <c r="P96" s="28">
        <v>13548.23</v>
      </c>
      <c r="Q96" s="28">
        <v>11318.34</v>
      </c>
      <c r="R96" s="28">
        <v>5522.5</v>
      </c>
      <c r="S96" s="28">
        <v>7192.75</v>
      </c>
      <c r="T96" s="28">
        <v>271.8</v>
      </c>
    </row>
    <row r="97" ht="22.5" customHeight="1">
      <c r="A97" s="25">
        <v>94.0</v>
      </c>
      <c r="B97" s="25" t="s">
        <v>2</v>
      </c>
      <c r="C97" s="25" t="s">
        <v>394</v>
      </c>
      <c r="D97" s="25" t="s">
        <v>122</v>
      </c>
      <c r="E97" s="30">
        <v>79.0</v>
      </c>
      <c r="F97" s="25">
        <v>78.0</v>
      </c>
      <c r="G97" s="30">
        <v>1.0</v>
      </c>
      <c r="H97" s="25" t="s">
        <v>71</v>
      </c>
      <c r="I97" s="25" t="s">
        <v>395</v>
      </c>
      <c r="J97" s="25">
        <v>40.0</v>
      </c>
      <c r="K97" s="28">
        <v>19246.21</v>
      </c>
      <c r="L97" s="29">
        <v>18986.34</v>
      </c>
      <c r="M97" s="29">
        <f t="shared" si="1"/>
        <v>259.87</v>
      </c>
      <c r="N97" s="29">
        <f t="shared" si="2"/>
        <v>10394.8</v>
      </c>
      <c r="O97" s="28">
        <v>3973.23</v>
      </c>
      <c r="P97" s="28">
        <v>6475.76</v>
      </c>
      <c r="Q97" s="28">
        <v>5301.87</v>
      </c>
      <c r="R97" s="28">
        <v>3495.31</v>
      </c>
      <c r="S97" s="28">
        <v>334.71</v>
      </c>
      <c r="T97" s="28">
        <v>1146.97</v>
      </c>
    </row>
    <row r="98" ht="22.5" customHeight="1">
      <c r="A98" s="25">
        <v>95.0</v>
      </c>
      <c r="B98" s="25" t="s">
        <v>2</v>
      </c>
      <c r="C98" s="25" t="s">
        <v>397</v>
      </c>
      <c r="D98" s="25" t="s">
        <v>92</v>
      </c>
      <c r="E98" s="30">
        <v>84.0</v>
      </c>
      <c r="F98" s="25">
        <v>79.0</v>
      </c>
      <c r="G98" s="30">
        <v>5.0</v>
      </c>
      <c r="H98" s="25" t="s">
        <v>71</v>
      </c>
      <c r="I98" s="25" t="s">
        <v>398</v>
      </c>
      <c r="J98" s="25">
        <v>40.0</v>
      </c>
      <c r="K98" s="28">
        <v>22078.25</v>
      </c>
      <c r="L98" s="29">
        <v>21827.72</v>
      </c>
      <c r="M98" s="29">
        <f t="shared" si="1"/>
        <v>250.53</v>
      </c>
      <c r="N98" s="29">
        <f t="shared" si="2"/>
        <v>10021.2</v>
      </c>
      <c r="O98" s="28">
        <v>4985.92</v>
      </c>
      <c r="P98" s="28">
        <v>7402.69</v>
      </c>
      <c r="Q98" s="28">
        <v>6003.96</v>
      </c>
      <c r="R98" s="28">
        <v>3685.67</v>
      </c>
      <c r="S98" s="28">
        <v>807.45</v>
      </c>
      <c r="T98" s="28">
        <v>386.59</v>
      </c>
    </row>
    <row r="99" ht="22.5" customHeight="1">
      <c r="A99" s="25">
        <v>96.0</v>
      </c>
      <c r="B99" s="25" t="s">
        <v>2</v>
      </c>
      <c r="C99" s="25" t="s">
        <v>399</v>
      </c>
      <c r="D99" s="25" t="s">
        <v>92</v>
      </c>
      <c r="E99" s="25">
        <v>17.0</v>
      </c>
      <c r="F99" s="25">
        <v>17.0</v>
      </c>
      <c r="G99" s="25"/>
      <c r="H99" s="25" t="s">
        <v>71</v>
      </c>
      <c r="I99" s="25" t="s">
        <v>401</v>
      </c>
      <c r="J99" s="25">
        <v>60.0</v>
      </c>
      <c r="K99" s="28">
        <v>4291.92</v>
      </c>
      <c r="L99" s="29">
        <v>4264.71</v>
      </c>
      <c r="M99" s="29">
        <f t="shared" si="1"/>
        <v>27.21</v>
      </c>
      <c r="N99" s="29">
        <f t="shared" si="2"/>
        <v>1632.6</v>
      </c>
      <c r="O99" s="28">
        <v>741.2</v>
      </c>
      <c r="P99" s="28">
        <v>1691.87</v>
      </c>
      <c r="Q99" s="28">
        <v>1248.18</v>
      </c>
      <c r="R99" s="28">
        <v>610.66</v>
      </c>
      <c r="S99" s="28">
        <v>1250.61</v>
      </c>
      <c r="T99" s="28">
        <v>181.83</v>
      </c>
    </row>
    <row r="100" ht="22.5" customHeight="1">
      <c r="A100" s="25">
        <v>97.0</v>
      </c>
      <c r="B100" s="25" t="s">
        <v>2</v>
      </c>
      <c r="C100" s="25" t="s">
        <v>402</v>
      </c>
      <c r="D100" s="25" t="s">
        <v>83</v>
      </c>
      <c r="E100" s="30">
        <v>42.0</v>
      </c>
      <c r="F100" s="25">
        <v>40.0</v>
      </c>
      <c r="G100" s="30">
        <v>2.0</v>
      </c>
      <c r="H100" s="25" t="s">
        <v>71</v>
      </c>
      <c r="I100" s="25" t="s">
        <v>403</v>
      </c>
      <c r="J100" s="25">
        <v>20.0</v>
      </c>
      <c r="K100" s="28">
        <v>21334.8</v>
      </c>
      <c r="L100" s="29">
        <v>21145.38</v>
      </c>
      <c r="M100" s="29">
        <f t="shared" si="1"/>
        <v>189.42</v>
      </c>
      <c r="N100" s="29">
        <f t="shared" si="2"/>
        <v>3788.4</v>
      </c>
      <c r="O100" s="28">
        <v>4974.85</v>
      </c>
      <c r="P100" s="28">
        <v>6846.11</v>
      </c>
      <c r="Q100" s="28">
        <v>5429.98</v>
      </c>
      <c r="R100" s="28">
        <v>4083.82</v>
      </c>
      <c r="S100" s="28">
        <v>595.35</v>
      </c>
      <c r="T100" s="28">
        <v>349.42</v>
      </c>
    </row>
    <row r="101" ht="22.5" customHeight="1">
      <c r="A101" s="25">
        <v>98.0</v>
      </c>
      <c r="B101" s="25" t="s">
        <v>2</v>
      </c>
      <c r="C101" s="25" t="s">
        <v>103</v>
      </c>
      <c r="D101" s="25" t="s">
        <v>86</v>
      </c>
      <c r="E101" s="30">
        <v>93.0</v>
      </c>
      <c r="F101" s="25">
        <v>89.0</v>
      </c>
      <c r="G101" s="30">
        <v>4.0</v>
      </c>
      <c r="H101" s="25" t="s">
        <v>71</v>
      </c>
      <c r="I101" s="25" t="s">
        <v>104</v>
      </c>
      <c r="J101" s="25">
        <v>40.0</v>
      </c>
      <c r="K101" s="28">
        <v>9208.46</v>
      </c>
      <c r="L101" s="29">
        <v>9035.2</v>
      </c>
      <c r="M101" s="29">
        <f t="shared" si="1"/>
        <v>173.26</v>
      </c>
      <c r="N101" s="29">
        <f t="shared" si="2"/>
        <v>6930.4</v>
      </c>
      <c r="O101" s="28">
        <v>619.29</v>
      </c>
      <c r="P101" s="28">
        <v>3964.04</v>
      </c>
      <c r="Q101" s="28">
        <v>3182.36</v>
      </c>
      <c r="R101" s="28">
        <v>1442.75</v>
      </c>
      <c r="S101" s="28">
        <v>570.28</v>
      </c>
      <c r="T101" s="28">
        <v>173.27</v>
      </c>
    </row>
    <row r="102" ht="22.5" customHeight="1">
      <c r="A102" s="25">
        <v>99.0</v>
      </c>
      <c r="B102" s="25" t="s">
        <v>2</v>
      </c>
      <c r="C102" s="25" t="s">
        <v>96</v>
      </c>
      <c r="D102" s="25" t="s">
        <v>86</v>
      </c>
      <c r="E102" s="30">
        <v>46.0</v>
      </c>
      <c r="F102" s="25">
        <v>44.0</v>
      </c>
      <c r="G102" s="30">
        <v>2.0</v>
      </c>
      <c r="H102" s="25" t="s">
        <v>71</v>
      </c>
      <c r="I102" s="25" t="s">
        <v>97</v>
      </c>
      <c r="J102" s="25">
        <v>20.0</v>
      </c>
      <c r="K102" s="28">
        <v>12516.82</v>
      </c>
      <c r="L102" s="29">
        <v>12379.11</v>
      </c>
      <c r="M102" s="29">
        <f t="shared" si="1"/>
        <v>137.71</v>
      </c>
      <c r="N102" s="29">
        <f t="shared" si="2"/>
        <v>2754.2</v>
      </c>
      <c r="O102" s="28">
        <v>3141.37</v>
      </c>
      <c r="P102" s="28">
        <v>4280.99</v>
      </c>
      <c r="Q102" s="28">
        <v>3320.36</v>
      </c>
      <c r="R102" s="28">
        <v>1774.1</v>
      </c>
      <c r="S102" s="28">
        <v>521.67</v>
      </c>
      <c r="T102" s="28">
        <v>116.96</v>
      </c>
    </row>
    <row r="103" ht="22.5" customHeight="1">
      <c r="A103" s="25">
        <v>100.0</v>
      </c>
      <c r="B103" s="25" t="s">
        <v>2</v>
      </c>
      <c r="C103" s="25" t="s">
        <v>411</v>
      </c>
      <c r="D103" s="25" t="s">
        <v>92</v>
      </c>
      <c r="E103" s="30">
        <v>10.0</v>
      </c>
      <c r="F103" s="25">
        <v>7.0</v>
      </c>
      <c r="G103" s="30">
        <v>3.0</v>
      </c>
      <c r="H103" s="25" t="s">
        <v>71</v>
      </c>
      <c r="I103" s="25" t="s">
        <v>412</v>
      </c>
      <c r="J103" s="25">
        <v>40.0</v>
      </c>
      <c r="K103" s="28">
        <v>13926.42</v>
      </c>
      <c r="L103" s="29">
        <v>13682.27</v>
      </c>
      <c r="M103" s="29">
        <f t="shared" si="1"/>
        <v>244.15</v>
      </c>
      <c r="N103" s="29">
        <f t="shared" si="2"/>
        <v>9766</v>
      </c>
      <c r="O103" s="28">
        <v>3115.3</v>
      </c>
      <c r="P103" s="28">
        <v>4644.36</v>
      </c>
      <c r="Q103" s="28">
        <v>3758.07</v>
      </c>
      <c r="R103" s="28">
        <v>2408.68</v>
      </c>
      <c r="S103" s="28">
        <v>224.95</v>
      </c>
      <c r="T103" s="28">
        <v>354.94</v>
      </c>
    </row>
    <row r="104" ht="22.5" customHeight="1">
      <c r="A104" s="25">
        <v>101.0</v>
      </c>
      <c r="B104" s="25" t="s">
        <v>2</v>
      </c>
      <c r="C104" s="25" t="s">
        <v>413</v>
      </c>
      <c r="D104" s="25" t="s">
        <v>86</v>
      </c>
      <c r="E104" s="30">
        <v>63.0</v>
      </c>
      <c r="F104" s="25">
        <v>59.0</v>
      </c>
      <c r="G104" s="30">
        <v>4.0</v>
      </c>
      <c r="H104" s="25" t="s">
        <v>71</v>
      </c>
      <c r="I104" s="25" t="s">
        <v>414</v>
      </c>
      <c r="J104" s="25">
        <v>160.0</v>
      </c>
      <c r="K104" s="28">
        <v>5229.94</v>
      </c>
      <c r="L104" s="29">
        <v>4751.7</v>
      </c>
      <c r="M104" s="29">
        <f t="shared" si="1"/>
        <v>478.24</v>
      </c>
      <c r="N104" s="29">
        <f t="shared" si="2"/>
        <v>76518.4</v>
      </c>
      <c r="O104" s="28">
        <v>656.29</v>
      </c>
      <c r="P104" s="28">
        <v>2139.08</v>
      </c>
      <c r="Q104" s="28">
        <v>1180.98</v>
      </c>
      <c r="R104" s="28">
        <v>1253.58</v>
      </c>
      <c r="S104" s="28">
        <v>398.12</v>
      </c>
      <c r="T104" s="28">
        <v>0.53</v>
      </c>
    </row>
    <row r="105" ht="22.5" customHeight="1">
      <c r="A105" s="25">
        <v>102.0</v>
      </c>
      <c r="B105" s="25" t="s">
        <v>2</v>
      </c>
      <c r="C105" s="25" t="s">
        <v>418</v>
      </c>
      <c r="D105" s="25" t="s">
        <v>92</v>
      </c>
      <c r="E105" s="30">
        <v>41.0</v>
      </c>
      <c r="F105" s="25">
        <v>40.0</v>
      </c>
      <c r="G105" s="30">
        <v>1.0</v>
      </c>
      <c r="H105" s="25" t="s">
        <v>71</v>
      </c>
      <c r="I105" s="25" t="s">
        <v>419</v>
      </c>
      <c r="J105" s="25">
        <v>40.0</v>
      </c>
      <c r="K105" s="28">
        <v>4112.53</v>
      </c>
      <c r="L105" s="29">
        <v>4059.71</v>
      </c>
      <c r="M105" s="29">
        <f t="shared" si="1"/>
        <v>52.82</v>
      </c>
      <c r="N105" s="29">
        <f t="shared" si="2"/>
        <v>2112.8</v>
      </c>
      <c r="O105" s="28">
        <v>886.92</v>
      </c>
      <c r="P105" s="28">
        <v>1314.54</v>
      </c>
      <c r="Q105" s="28">
        <v>1085.1</v>
      </c>
      <c r="R105" s="28">
        <v>825.94</v>
      </c>
      <c r="S105" s="28">
        <v>353.17</v>
      </c>
      <c r="T105" s="28">
        <v>99.82</v>
      </c>
    </row>
    <row r="106" ht="22.5" customHeight="1">
      <c r="A106" s="25">
        <v>103.0</v>
      </c>
      <c r="B106" s="25" t="s">
        <v>2</v>
      </c>
      <c r="C106" s="25" t="s">
        <v>420</v>
      </c>
      <c r="D106" s="25" t="s">
        <v>92</v>
      </c>
      <c r="E106" s="30">
        <v>74.0</v>
      </c>
      <c r="F106" s="25">
        <v>73.0</v>
      </c>
      <c r="G106" s="30">
        <v>1.0</v>
      </c>
      <c r="H106" s="25" t="s">
        <v>71</v>
      </c>
      <c r="I106" s="25" t="s">
        <v>421</v>
      </c>
      <c r="J106" s="25">
        <v>60.0</v>
      </c>
      <c r="K106" s="28">
        <v>4622.78</v>
      </c>
      <c r="L106" s="29">
        <v>4440.04</v>
      </c>
      <c r="M106" s="29">
        <f t="shared" si="1"/>
        <v>182.74</v>
      </c>
      <c r="N106" s="29">
        <f t="shared" si="2"/>
        <v>10964.4</v>
      </c>
      <c r="O106" s="28">
        <v>1479.61</v>
      </c>
      <c r="P106" s="28">
        <v>1651.0</v>
      </c>
      <c r="Q106" s="28">
        <v>1324.2</v>
      </c>
      <c r="R106" s="28">
        <v>167.94</v>
      </c>
      <c r="S106" s="28">
        <v>104.65</v>
      </c>
      <c r="T106" s="28">
        <v>34.06</v>
      </c>
    </row>
    <row r="107" ht="22.5" customHeight="1">
      <c r="A107" s="25">
        <v>104.0</v>
      </c>
      <c r="B107" s="25" t="s">
        <v>2</v>
      </c>
      <c r="C107" s="25" t="s">
        <v>425</v>
      </c>
      <c r="D107" s="25" t="s">
        <v>92</v>
      </c>
      <c r="E107" s="30">
        <v>97.0</v>
      </c>
      <c r="F107" s="25">
        <v>94.0</v>
      </c>
      <c r="G107" s="30">
        <v>3.0</v>
      </c>
      <c r="H107" s="25" t="s">
        <v>71</v>
      </c>
      <c r="I107" s="25" t="s">
        <v>426</v>
      </c>
      <c r="J107" s="25">
        <v>40.0</v>
      </c>
      <c r="K107" s="28">
        <v>14600.54</v>
      </c>
      <c r="L107" s="29">
        <v>14396.88</v>
      </c>
      <c r="M107" s="29">
        <f t="shared" si="1"/>
        <v>203.66</v>
      </c>
      <c r="N107" s="29">
        <f t="shared" si="2"/>
        <v>8146.4</v>
      </c>
      <c r="O107" s="28">
        <v>2854.16</v>
      </c>
      <c r="P107" s="28">
        <v>5107.88</v>
      </c>
      <c r="Q107" s="28">
        <v>4121.37</v>
      </c>
      <c r="R107" s="28">
        <v>2517.11</v>
      </c>
      <c r="S107" s="28">
        <v>882.0</v>
      </c>
      <c r="T107" s="28">
        <v>37.23</v>
      </c>
    </row>
    <row r="108" ht="22.5" customHeight="1">
      <c r="A108" s="25">
        <v>105.0</v>
      </c>
      <c r="B108" s="25" t="s">
        <v>2</v>
      </c>
      <c r="C108" s="25" t="s">
        <v>427</v>
      </c>
      <c r="D108" s="25" t="s">
        <v>86</v>
      </c>
      <c r="E108" s="30">
        <v>148.0</v>
      </c>
      <c r="F108" s="25">
        <v>142.0</v>
      </c>
      <c r="G108" s="30">
        <v>6.0</v>
      </c>
      <c r="H108" s="25" t="s">
        <v>71</v>
      </c>
      <c r="I108" s="25" t="s">
        <v>431</v>
      </c>
      <c r="J108" s="25">
        <v>50.0</v>
      </c>
      <c r="K108" s="28">
        <v>954.12</v>
      </c>
      <c r="L108" s="29">
        <v>943.93</v>
      </c>
      <c r="M108" s="29">
        <f t="shared" si="1"/>
        <v>10.19</v>
      </c>
      <c r="N108" s="29">
        <f t="shared" si="2"/>
        <v>509.5</v>
      </c>
      <c r="O108" s="28">
        <v>242.59</v>
      </c>
      <c r="P108" s="28">
        <v>313.19</v>
      </c>
      <c r="Q108" s="28">
        <v>263.17</v>
      </c>
      <c r="R108" s="28">
        <v>135.14</v>
      </c>
      <c r="S108" s="28">
        <v>58.41</v>
      </c>
      <c r="T108" s="28">
        <v>1.89</v>
      </c>
    </row>
    <row r="109" ht="22.5" customHeight="1">
      <c r="A109" s="25">
        <v>106.0</v>
      </c>
      <c r="B109" s="25" t="s">
        <v>2</v>
      </c>
      <c r="C109" s="25" t="s">
        <v>432</v>
      </c>
      <c r="D109" s="25" t="s">
        <v>86</v>
      </c>
      <c r="E109" s="30">
        <v>201.0</v>
      </c>
      <c r="F109" s="25">
        <v>199.0</v>
      </c>
      <c r="G109" s="30">
        <v>2.0</v>
      </c>
      <c r="H109" s="25" t="s">
        <v>71</v>
      </c>
      <c r="I109" s="25" t="s">
        <v>433</v>
      </c>
      <c r="J109" s="25">
        <v>50.0</v>
      </c>
      <c r="K109" s="28">
        <v>33027.34</v>
      </c>
      <c r="L109" s="29">
        <v>32571.09</v>
      </c>
      <c r="M109" s="29">
        <f t="shared" si="1"/>
        <v>456.25</v>
      </c>
      <c r="N109" s="29">
        <f t="shared" si="2"/>
        <v>22812.5</v>
      </c>
      <c r="O109" s="28">
        <v>7087.97</v>
      </c>
      <c r="P109" s="28">
        <v>10895.28</v>
      </c>
      <c r="Q109" s="28">
        <v>9134.67</v>
      </c>
      <c r="R109" s="28">
        <v>5909.4</v>
      </c>
      <c r="S109" s="28">
        <v>1255.65</v>
      </c>
      <c r="T109" s="28">
        <v>253.6</v>
      </c>
    </row>
    <row r="110" ht="22.5" customHeight="1">
      <c r="A110" s="25">
        <v>107.0</v>
      </c>
      <c r="B110" s="25" t="s">
        <v>2</v>
      </c>
      <c r="C110" s="25" t="s">
        <v>437</v>
      </c>
      <c r="D110" s="25" t="s">
        <v>83</v>
      </c>
      <c r="E110" s="30">
        <v>29.0</v>
      </c>
      <c r="F110" s="25">
        <v>27.0</v>
      </c>
      <c r="G110" s="30">
        <v>2.0</v>
      </c>
      <c r="H110" s="25" t="s">
        <v>71</v>
      </c>
      <c r="I110" s="25" t="s">
        <v>438</v>
      </c>
      <c r="J110" s="25">
        <v>40.0</v>
      </c>
      <c r="K110" s="28">
        <v>1690.91</v>
      </c>
      <c r="L110" s="29">
        <v>1669.3</v>
      </c>
      <c r="M110" s="29">
        <f t="shared" si="1"/>
        <v>21.61</v>
      </c>
      <c r="N110" s="29">
        <f t="shared" si="2"/>
        <v>864.4</v>
      </c>
      <c r="O110" s="28">
        <v>246.78</v>
      </c>
      <c r="P110" s="28">
        <v>539.1</v>
      </c>
      <c r="Q110" s="28">
        <v>407.47</v>
      </c>
      <c r="R110" s="28">
        <v>497.54</v>
      </c>
      <c r="S110" s="28">
        <v>281.53</v>
      </c>
      <c r="T110" s="28">
        <v>1.28</v>
      </c>
    </row>
    <row r="111" ht="22.5" customHeight="1">
      <c r="A111" s="25">
        <v>108.0</v>
      </c>
      <c r="B111" s="25" t="s">
        <v>2</v>
      </c>
      <c r="C111" s="25" t="s">
        <v>204</v>
      </c>
      <c r="D111" s="25" t="s">
        <v>122</v>
      </c>
      <c r="E111" s="30">
        <v>48.0</v>
      </c>
      <c r="F111" s="25">
        <v>47.0</v>
      </c>
      <c r="G111" s="30">
        <v>1.0</v>
      </c>
      <c r="H111" s="25" t="s">
        <v>71</v>
      </c>
      <c r="I111" s="25" t="s">
        <v>205</v>
      </c>
      <c r="J111" s="25">
        <v>40.0</v>
      </c>
      <c r="K111" s="28">
        <v>4699.23</v>
      </c>
      <c r="L111" s="29">
        <v>4521.58</v>
      </c>
      <c r="M111" s="29">
        <f t="shared" si="1"/>
        <v>177.65</v>
      </c>
      <c r="N111" s="29">
        <f t="shared" si="2"/>
        <v>7106</v>
      </c>
      <c r="O111" s="28">
        <v>1194.31</v>
      </c>
      <c r="P111" s="28">
        <v>1801.0</v>
      </c>
      <c r="Q111" s="28">
        <v>1210.95</v>
      </c>
      <c r="R111" s="28">
        <v>492.94</v>
      </c>
      <c r="S111" s="28">
        <v>409.9</v>
      </c>
      <c r="T111" s="28">
        <v>2448.9</v>
      </c>
    </row>
    <row r="112" ht="22.5" customHeight="1">
      <c r="A112" s="25">
        <v>109.0</v>
      </c>
      <c r="B112" s="25" t="s">
        <v>2</v>
      </c>
      <c r="C112" s="25" t="s">
        <v>440</v>
      </c>
      <c r="D112" s="25" t="s">
        <v>76</v>
      </c>
      <c r="E112" s="30">
        <v>188.0</v>
      </c>
      <c r="F112" s="25">
        <v>186.0</v>
      </c>
      <c r="G112" s="30">
        <v>2.0</v>
      </c>
      <c r="H112" s="25" t="s">
        <v>71</v>
      </c>
      <c r="I112" s="25" t="s">
        <v>441</v>
      </c>
      <c r="J112" s="25">
        <v>40.0</v>
      </c>
      <c r="K112" s="28">
        <v>36666.45</v>
      </c>
      <c r="L112" s="29">
        <v>36280.65</v>
      </c>
      <c r="M112" s="29">
        <f t="shared" si="1"/>
        <v>385.8</v>
      </c>
      <c r="N112" s="29">
        <f t="shared" si="2"/>
        <v>15432</v>
      </c>
      <c r="O112" s="28">
        <v>7522.23</v>
      </c>
      <c r="P112" s="28">
        <v>12110.79</v>
      </c>
      <c r="Q112" s="28">
        <v>9577.79</v>
      </c>
      <c r="R112" s="28">
        <v>7455.62</v>
      </c>
      <c r="S112" s="28">
        <v>3114.88</v>
      </c>
      <c r="T112" s="28">
        <v>319.84</v>
      </c>
    </row>
    <row r="113" ht="22.5" customHeight="1">
      <c r="A113" s="25">
        <v>110.0</v>
      </c>
      <c r="B113" s="25" t="s">
        <v>2</v>
      </c>
      <c r="C113" s="25" t="s">
        <v>442</v>
      </c>
      <c r="D113" s="25" t="s">
        <v>122</v>
      </c>
      <c r="E113" s="30">
        <v>1.0</v>
      </c>
      <c r="F113" s="25">
        <v>0.0</v>
      </c>
      <c r="G113" s="30">
        <v>1.0</v>
      </c>
      <c r="H113" s="25" t="s">
        <v>71</v>
      </c>
      <c r="I113" s="25" t="s">
        <v>444</v>
      </c>
      <c r="J113" s="25">
        <v>40.0</v>
      </c>
      <c r="K113" s="28">
        <v>16728.73</v>
      </c>
      <c r="L113" s="29">
        <v>16494.34</v>
      </c>
      <c r="M113" s="29">
        <f t="shared" si="1"/>
        <v>234.39</v>
      </c>
      <c r="N113" s="29">
        <f t="shared" si="2"/>
        <v>9375.6</v>
      </c>
      <c r="O113" s="28">
        <v>4167.32</v>
      </c>
      <c r="P113" s="28">
        <v>5384.43</v>
      </c>
      <c r="Q113" s="28">
        <v>4346.34</v>
      </c>
      <c r="R113" s="28">
        <v>2830.63</v>
      </c>
      <c r="S113" s="28">
        <v>721.66</v>
      </c>
      <c r="T113" s="28">
        <v>71.68</v>
      </c>
    </row>
    <row r="114" ht="22.5" customHeight="1">
      <c r="A114" s="25">
        <v>111.0</v>
      </c>
      <c r="B114" s="25" t="s">
        <v>2</v>
      </c>
      <c r="C114" s="25" t="s">
        <v>445</v>
      </c>
      <c r="D114" s="25" t="s">
        <v>92</v>
      </c>
      <c r="E114" s="30">
        <v>69.0</v>
      </c>
      <c r="F114" s="25">
        <v>69.0</v>
      </c>
      <c r="G114" s="30"/>
      <c r="H114" s="25" t="s">
        <v>71</v>
      </c>
      <c r="I114" s="25" t="s">
        <v>446</v>
      </c>
      <c r="J114" s="25">
        <v>60.0</v>
      </c>
      <c r="K114" s="28">
        <v>590.31</v>
      </c>
      <c r="L114" s="29">
        <v>582.21</v>
      </c>
      <c r="M114" s="29">
        <f t="shared" si="1"/>
        <v>8.1</v>
      </c>
      <c r="N114" s="29">
        <f t="shared" si="2"/>
        <v>486</v>
      </c>
      <c r="O114" s="28">
        <v>139.64</v>
      </c>
      <c r="P114" s="28">
        <v>198.14</v>
      </c>
      <c r="Q114" s="28">
        <v>164.84</v>
      </c>
      <c r="R114" s="28">
        <v>87.66</v>
      </c>
      <c r="S114" s="28">
        <v>8.19</v>
      </c>
      <c r="T114" s="28">
        <v>65.88</v>
      </c>
    </row>
    <row r="115" ht="22.5" customHeight="1">
      <c r="A115" s="25">
        <v>112.0</v>
      </c>
      <c r="B115" s="25" t="s">
        <v>2</v>
      </c>
      <c r="C115" s="25" t="s">
        <v>314</v>
      </c>
      <c r="D115" s="25" t="s">
        <v>86</v>
      </c>
      <c r="E115" s="25">
        <v>93.0</v>
      </c>
      <c r="F115" s="25">
        <v>93.0</v>
      </c>
      <c r="G115" s="25"/>
      <c r="H115" s="25" t="s">
        <v>71</v>
      </c>
      <c r="I115" s="25" t="s">
        <v>315</v>
      </c>
      <c r="J115" s="25">
        <v>40.0</v>
      </c>
      <c r="K115" s="28">
        <v>13656.75</v>
      </c>
      <c r="L115" s="29">
        <v>12840.5</v>
      </c>
      <c r="M115" s="29">
        <f t="shared" si="1"/>
        <v>816.25</v>
      </c>
      <c r="N115" s="29">
        <f t="shared" si="2"/>
        <v>32650</v>
      </c>
      <c r="O115" s="28">
        <v>4150.49</v>
      </c>
      <c r="P115" s="28">
        <v>5143.3</v>
      </c>
      <c r="Q115" s="28">
        <v>4121.75</v>
      </c>
      <c r="R115" s="28">
        <v>241.18</v>
      </c>
      <c r="S115" s="28">
        <v>1021.97</v>
      </c>
      <c r="T115" s="28">
        <v>34.26</v>
      </c>
    </row>
    <row r="116" ht="22.5" customHeight="1">
      <c r="A116" s="25">
        <v>113.0</v>
      </c>
      <c r="B116" s="25" t="s">
        <v>2</v>
      </c>
      <c r="C116" s="25" t="s">
        <v>449</v>
      </c>
      <c r="D116" s="25" t="s">
        <v>92</v>
      </c>
      <c r="E116" s="30">
        <v>1.0</v>
      </c>
      <c r="F116" s="25">
        <v>0.0</v>
      </c>
      <c r="G116" s="30">
        <v>1.0</v>
      </c>
      <c r="H116" s="25" t="s">
        <v>71</v>
      </c>
      <c r="I116" s="25" t="s">
        <v>450</v>
      </c>
      <c r="J116" s="25">
        <v>40.0</v>
      </c>
      <c r="K116" s="28">
        <v>7376.89</v>
      </c>
      <c r="L116" s="29">
        <v>7219.56</v>
      </c>
      <c r="M116" s="29">
        <f t="shared" si="1"/>
        <v>157.33</v>
      </c>
      <c r="N116" s="29">
        <f t="shared" si="2"/>
        <v>6293.2</v>
      </c>
      <c r="O116" s="28">
        <v>1630.3</v>
      </c>
      <c r="P116" s="28">
        <v>2486.9</v>
      </c>
      <c r="Q116" s="28">
        <v>2091.77</v>
      </c>
      <c r="R116" s="28">
        <v>1167.91</v>
      </c>
      <c r="S116" s="28">
        <v>541.96</v>
      </c>
      <c r="T116" s="28">
        <v>127.67</v>
      </c>
    </row>
    <row r="117" ht="22.5" customHeight="1">
      <c r="A117" s="25">
        <v>114.0</v>
      </c>
      <c r="B117" s="25" t="s">
        <v>2</v>
      </c>
      <c r="C117" s="25" t="s">
        <v>452</v>
      </c>
      <c r="D117" s="25" t="s">
        <v>92</v>
      </c>
      <c r="E117" s="30">
        <v>1.0</v>
      </c>
      <c r="F117" s="25">
        <v>0.0</v>
      </c>
      <c r="G117" s="30">
        <v>1.0</v>
      </c>
      <c r="H117" s="25" t="s">
        <v>71</v>
      </c>
      <c r="I117" s="25" t="s">
        <v>453</v>
      </c>
      <c r="J117" s="25">
        <v>40.0</v>
      </c>
      <c r="K117" s="28">
        <v>3413.07</v>
      </c>
      <c r="L117" s="29">
        <v>3185.21</v>
      </c>
      <c r="M117" s="29">
        <f t="shared" si="1"/>
        <v>227.86</v>
      </c>
      <c r="N117" s="29">
        <f t="shared" si="2"/>
        <v>9114.4</v>
      </c>
      <c r="O117" s="28">
        <v>457.95</v>
      </c>
      <c r="P117" s="28">
        <v>1119.38</v>
      </c>
      <c r="Q117" s="28">
        <v>901.01</v>
      </c>
      <c r="R117" s="28">
        <v>934.72</v>
      </c>
      <c r="S117" s="28">
        <v>209.94</v>
      </c>
      <c r="T117" s="28">
        <v>4.0</v>
      </c>
    </row>
    <row r="118" ht="22.5" customHeight="1">
      <c r="A118" s="25">
        <v>115.0</v>
      </c>
      <c r="B118" s="25" t="s">
        <v>2</v>
      </c>
      <c r="C118" s="25" t="s">
        <v>454</v>
      </c>
      <c r="D118" s="25" t="s">
        <v>83</v>
      </c>
      <c r="E118" s="30">
        <v>1.0</v>
      </c>
      <c r="F118" s="25">
        <v>0.0</v>
      </c>
      <c r="G118" s="30">
        <v>1.0</v>
      </c>
      <c r="H118" s="25" t="s">
        <v>71</v>
      </c>
      <c r="I118" s="25" t="s">
        <v>457</v>
      </c>
      <c r="J118" s="25">
        <v>60.0</v>
      </c>
      <c r="K118" s="28">
        <v>3939.34</v>
      </c>
      <c r="L118" s="29">
        <v>3693.89</v>
      </c>
      <c r="M118" s="29">
        <f t="shared" si="1"/>
        <v>245.45</v>
      </c>
      <c r="N118" s="29">
        <f t="shared" si="2"/>
        <v>14727</v>
      </c>
      <c r="O118" s="28">
        <v>528.46</v>
      </c>
      <c r="P118" s="28">
        <v>1133.43</v>
      </c>
      <c r="Q118" s="28">
        <v>1063.17</v>
      </c>
      <c r="R118" s="28">
        <v>1214.26</v>
      </c>
      <c r="S118" s="28">
        <v>222.35</v>
      </c>
      <c r="T118" s="28">
        <v>26.98</v>
      </c>
    </row>
    <row r="119" ht="22.5" customHeight="1">
      <c r="A119" s="25">
        <v>116.0</v>
      </c>
      <c r="B119" s="25" t="s">
        <v>2</v>
      </c>
      <c r="C119" s="25" t="s">
        <v>458</v>
      </c>
      <c r="D119" s="25" t="s">
        <v>92</v>
      </c>
      <c r="E119" s="25">
        <v>81.0</v>
      </c>
      <c r="F119" s="25">
        <v>81.0</v>
      </c>
      <c r="G119" s="25"/>
      <c r="H119" s="25" t="s">
        <v>71</v>
      </c>
      <c r="I119" s="25" t="s">
        <v>459</v>
      </c>
      <c r="J119" s="25">
        <v>50.0</v>
      </c>
      <c r="K119" s="28">
        <v>409.38</v>
      </c>
      <c r="L119" s="29">
        <v>315.25</v>
      </c>
      <c r="M119" s="29">
        <f t="shared" si="1"/>
        <v>94.13</v>
      </c>
      <c r="N119" s="29">
        <f t="shared" si="2"/>
        <v>4706.5</v>
      </c>
      <c r="O119" s="28">
        <v>50.87</v>
      </c>
      <c r="P119" s="28">
        <v>132.47</v>
      </c>
      <c r="Q119" s="28">
        <v>116.91</v>
      </c>
      <c r="R119" s="28">
        <v>109.11</v>
      </c>
      <c r="S119" s="28">
        <v>58.23</v>
      </c>
      <c r="T119" s="28">
        <v>15.75</v>
      </c>
    </row>
    <row r="120" ht="22.5" customHeight="1">
      <c r="A120" s="25">
        <v>117.0</v>
      </c>
      <c r="B120" s="25" t="s">
        <v>2</v>
      </c>
      <c r="C120" s="25" t="s">
        <v>461</v>
      </c>
      <c r="D120" s="25" t="s">
        <v>86</v>
      </c>
      <c r="E120" s="30">
        <v>79.0</v>
      </c>
      <c r="F120" s="25">
        <v>75.0</v>
      </c>
      <c r="G120" s="30">
        <v>4.0</v>
      </c>
      <c r="H120" s="25" t="s">
        <v>71</v>
      </c>
      <c r="I120" s="25" t="s">
        <v>462</v>
      </c>
      <c r="J120" s="25">
        <v>80.0</v>
      </c>
      <c r="K120" s="28">
        <v>5818.28</v>
      </c>
      <c r="L120" s="29">
        <v>5333.6</v>
      </c>
      <c r="M120" s="29">
        <f t="shared" si="1"/>
        <v>484.68</v>
      </c>
      <c r="N120" s="29">
        <f t="shared" si="2"/>
        <v>38774.4</v>
      </c>
      <c r="O120" s="28">
        <v>622.95</v>
      </c>
      <c r="P120" s="28">
        <v>2387.47</v>
      </c>
      <c r="Q120" s="28">
        <v>1369.03</v>
      </c>
      <c r="R120" s="28">
        <v>1438.81</v>
      </c>
      <c r="S120" s="28">
        <v>1224.85</v>
      </c>
      <c r="T120" s="28">
        <v>1.13</v>
      </c>
    </row>
    <row r="121" ht="22.5" customHeight="1">
      <c r="A121" s="25">
        <v>118.0</v>
      </c>
      <c r="B121" s="25" t="s">
        <v>2</v>
      </c>
      <c r="C121" s="25" t="s">
        <v>463</v>
      </c>
      <c r="D121" s="25" t="s">
        <v>92</v>
      </c>
      <c r="E121" s="25">
        <v>31.0</v>
      </c>
      <c r="F121" s="25">
        <v>31.0</v>
      </c>
      <c r="G121" s="25"/>
      <c r="H121" s="25" t="s">
        <v>71</v>
      </c>
      <c r="I121" s="25" t="s">
        <v>464</v>
      </c>
      <c r="J121" s="25">
        <v>60.0</v>
      </c>
      <c r="K121" s="28">
        <v>2237.86</v>
      </c>
      <c r="L121" s="29">
        <v>2055.96</v>
      </c>
      <c r="M121" s="29">
        <f t="shared" si="1"/>
        <v>181.9</v>
      </c>
      <c r="N121" s="29">
        <f t="shared" si="2"/>
        <v>10914</v>
      </c>
      <c r="O121" s="28">
        <v>285.17</v>
      </c>
      <c r="P121" s="28">
        <v>697.61</v>
      </c>
      <c r="Q121" s="28">
        <v>559.59</v>
      </c>
      <c r="R121" s="28">
        <v>695.46</v>
      </c>
      <c r="S121" s="28">
        <v>61.57</v>
      </c>
      <c r="T121" s="28">
        <v>47.71</v>
      </c>
    </row>
    <row r="122" ht="22.5" customHeight="1">
      <c r="A122" s="25">
        <v>119.0</v>
      </c>
      <c r="B122" s="25" t="s">
        <v>2</v>
      </c>
      <c r="C122" s="25" t="s">
        <v>468</v>
      </c>
      <c r="D122" s="25" t="s">
        <v>92</v>
      </c>
      <c r="E122" s="25">
        <v>22.0</v>
      </c>
      <c r="F122" s="25">
        <v>22.0</v>
      </c>
      <c r="G122" s="25"/>
      <c r="H122" s="25" t="s">
        <v>71</v>
      </c>
      <c r="I122" s="25" t="s">
        <v>469</v>
      </c>
      <c r="J122" s="25">
        <v>60.0</v>
      </c>
      <c r="K122" s="28">
        <v>1094.17</v>
      </c>
      <c r="L122" s="29">
        <v>885.86</v>
      </c>
      <c r="M122" s="29">
        <f t="shared" si="1"/>
        <v>208.31</v>
      </c>
      <c r="N122" s="29">
        <f t="shared" si="2"/>
        <v>12498.6</v>
      </c>
      <c r="O122" s="28">
        <v>390.77</v>
      </c>
      <c r="P122" s="28">
        <v>398.77</v>
      </c>
      <c r="Q122" s="28">
        <v>304.62</v>
      </c>
      <c r="R122" s="28">
        <v>0.0</v>
      </c>
      <c r="S122" s="28">
        <v>454.14</v>
      </c>
      <c r="T122" s="28">
        <v>4.43</v>
      </c>
    </row>
    <row r="123" ht="22.5" customHeight="1">
      <c r="A123" s="25">
        <v>120.0</v>
      </c>
      <c r="B123" s="25" t="s">
        <v>2</v>
      </c>
      <c r="C123" s="25" t="s">
        <v>470</v>
      </c>
      <c r="D123" s="25" t="s">
        <v>83</v>
      </c>
      <c r="E123" s="30">
        <v>148.0</v>
      </c>
      <c r="F123" s="25">
        <v>146.0</v>
      </c>
      <c r="G123" s="30">
        <v>2.0</v>
      </c>
      <c r="H123" s="25" t="s">
        <v>71</v>
      </c>
      <c r="I123" s="25" t="s">
        <v>471</v>
      </c>
      <c r="J123" s="25">
        <v>60.0</v>
      </c>
      <c r="K123" s="28">
        <v>2215.49</v>
      </c>
      <c r="L123" s="29">
        <v>2017.14</v>
      </c>
      <c r="M123" s="29">
        <f t="shared" si="1"/>
        <v>198.35</v>
      </c>
      <c r="N123" s="29">
        <f t="shared" si="2"/>
        <v>11901</v>
      </c>
      <c r="O123" s="28">
        <v>271.2</v>
      </c>
      <c r="P123" s="28">
        <v>655.75</v>
      </c>
      <c r="Q123" s="28">
        <v>614.36</v>
      </c>
      <c r="R123" s="28">
        <v>674.16</v>
      </c>
      <c r="S123" s="28">
        <v>289.22</v>
      </c>
      <c r="T123" s="28">
        <v>12.68</v>
      </c>
    </row>
    <row r="124" ht="22.5" customHeight="1">
      <c r="A124" s="25">
        <v>121.0</v>
      </c>
      <c r="B124" s="25" t="s">
        <v>2</v>
      </c>
      <c r="C124" s="25" t="s">
        <v>475</v>
      </c>
      <c r="D124" s="25" t="s">
        <v>92</v>
      </c>
      <c r="E124" s="30">
        <v>107.0</v>
      </c>
      <c r="F124" s="25">
        <v>106.0</v>
      </c>
      <c r="G124" s="30">
        <v>1.0</v>
      </c>
      <c r="H124" s="25" t="s">
        <v>71</v>
      </c>
      <c r="I124" s="25" t="s">
        <v>476</v>
      </c>
      <c r="J124" s="25">
        <v>60.0</v>
      </c>
      <c r="K124" s="28">
        <v>6828.68</v>
      </c>
      <c r="L124" s="29">
        <v>6561.54</v>
      </c>
      <c r="M124" s="29">
        <f t="shared" si="1"/>
        <v>267.14</v>
      </c>
      <c r="N124" s="29">
        <f t="shared" si="2"/>
        <v>16028.4</v>
      </c>
      <c r="O124" s="28">
        <v>851.96</v>
      </c>
      <c r="P124" s="28">
        <v>2071.2</v>
      </c>
      <c r="Q124" s="28">
        <v>1654.53</v>
      </c>
      <c r="R124" s="28">
        <v>2250.96</v>
      </c>
      <c r="S124" s="28">
        <v>198.62</v>
      </c>
      <c r="T124" s="28">
        <v>37.69</v>
      </c>
    </row>
    <row r="125" ht="22.5" customHeight="1">
      <c r="A125" s="25">
        <v>122.0</v>
      </c>
      <c r="B125" s="25" t="s">
        <v>2</v>
      </c>
      <c r="C125" s="25" t="s">
        <v>477</v>
      </c>
      <c r="D125" s="25" t="s">
        <v>86</v>
      </c>
      <c r="E125" s="30">
        <v>30.0</v>
      </c>
      <c r="F125" s="25">
        <v>29.0</v>
      </c>
      <c r="G125" s="30">
        <v>1.0</v>
      </c>
      <c r="H125" s="25" t="s">
        <v>71</v>
      </c>
      <c r="I125" s="25" t="s">
        <v>478</v>
      </c>
      <c r="J125" s="25">
        <v>40.0</v>
      </c>
      <c r="K125" s="28">
        <v>2675.11</v>
      </c>
      <c r="L125" s="29">
        <v>2502.33</v>
      </c>
      <c r="M125" s="29">
        <f t="shared" si="1"/>
        <v>172.78</v>
      </c>
      <c r="N125" s="29">
        <f t="shared" si="2"/>
        <v>6911.2</v>
      </c>
      <c r="O125" s="28">
        <v>331.52</v>
      </c>
      <c r="P125" s="28">
        <v>856.88</v>
      </c>
      <c r="Q125" s="28">
        <v>626.41</v>
      </c>
      <c r="R125" s="28">
        <v>860.28</v>
      </c>
      <c r="S125" s="28">
        <v>203.91</v>
      </c>
      <c r="T125" s="28">
        <v>21.4</v>
      </c>
    </row>
    <row r="126" ht="22.5" customHeight="1">
      <c r="A126" s="25">
        <v>123.0</v>
      </c>
      <c r="B126" s="25" t="s">
        <v>2</v>
      </c>
      <c r="C126" s="25" t="s">
        <v>482</v>
      </c>
      <c r="D126" s="25" t="s">
        <v>86</v>
      </c>
      <c r="E126" s="30">
        <v>67.0</v>
      </c>
      <c r="F126" s="25">
        <v>66.0</v>
      </c>
      <c r="G126" s="30">
        <v>1.0</v>
      </c>
      <c r="H126" s="25" t="s">
        <v>71</v>
      </c>
      <c r="I126" s="25" t="s">
        <v>483</v>
      </c>
      <c r="J126" s="25">
        <v>40.0</v>
      </c>
      <c r="K126" s="28">
        <v>4521.64</v>
      </c>
      <c r="L126" s="29">
        <v>4357.76</v>
      </c>
      <c r="M126" s="29">
        <f t="shared" si="1"/>
        <v>163.88</v>
      </c>
      <c r="N126" s="29">
        <f t="shared" si="2"/>
        <v>6555.2</v>
      </c>
      <c r="O126" s="28">
        <v>610.21</v>
      </c>
      <c r="P126" s="28">
        <v>1401.68</v>
      </c>
      <c r="Q126" s="28">
        <v>1089.38</v>
      </c>
      <c r="R126" s="28">
        <v>1420.35</v>
      </c>
      <c r="S126" s="28">
        <v>177.09</v>
      </c>
      <c r="T126" s="28">
        <v>8.1</v>
      </c>
    </row>
    <row r="127" ht="22.5" customHeight="1">
      <c r="A127" s="25">
        <v>124.0</v>
      </c>
      <c r="B127" s="25" t="s">
        <v>2</v>
      </c>
      <c r="C127" s="25" t="s">
        <v>484</v>
      </c>
      <c r="D127" s="25" t="s">
        <v>86</v>
      </c>
      <c r="E127" s="30">
        <v>72.0</v>
      </c>
      <c r="F127" s="25">
        <v>71.0</v>
      </c>
      <c r="G127" s="30">
        <v>1.0</v>
      </c>
      <c r="H127" s="25" t="s">
        <v>71</v>
      </c>
      <c r="I127" s="25" t="s">
        <v>486</v>
      </c>
      <c r="J127" s="25">
        <v>40.0</v>
      </c>
      <c r="K127" s="28">
        <v>9732.33</v>
      </c>
      <c r="L127" s="29">
        <v>9639.68</v>
      </c>
      <c r="M127" s="29">
        <f t="shared" si="1"/>
        <v>92.65</v>
      </c>
      <c r="N127" s="29">
        <f t="shared" si="2"/>
        <v>3706</v>
      </c>
      <c r="O127" s="28">
        <v>2213.41</v>
      </c>
      <c r="P127" s="28">
        <v>3124.16</v>
      </c>
      <c r="Q127" s="28">
        <v>2535.09</v>
      </c>
      <c r="R127" s="28">
        <v>1859.66</v>
      </c>
      <c r="S127" s="28">
        <v>626.09</v>
      </c>
      <c r="T127" s="28">
        <v>102.24</v>
      </c>
    </row>
    <row r="128" ht="22.5" customHeight="1">
      <c r="A128" s="25">
        <v>125.0</v>
      </c>
      <c r="B128" s="25" t="s">
        <v>2</v>
      </c>
      <c r="C128" s="25" t="s">
        <v>487</v>
      </c>
      <c r="D128" s="25" t="s">
        <v>92</v>
      </c>
      <c r="E128" s="30">
        <v>82.0</v>
      </c>
      <c r="F128" s="25">
        <v>80.0</v>
      </c>
      <c r="G128" s="30">
        <v>2.0</v>
      </c>
      <c r="H128" s="25" t="s">
        <v>71</v>
      </c>
      <c r="I128" s="25" t="s">
        <v>488</v>
      </c>
      <c r="J128" s="25">
        <v>40.0</v>
      </c>
      <c r="K128" s="28">
        <v>10517.45</v>
      </c>
      <c r="L128" s="29">
        <v>10371.47</v>
      </c>
      <c r="M128" s="29">
        <f t="shared" si="1"/>
        <v>145.98</v>
      </c>
      <c r="N128" s="29">
        <f t="shared" si="2"/>
        <v>5839.2</v>
      </c>
      <c r="O128" s="28">
        <v>1836.76</v>
      </c>
      <c r="P128" s="28">
        <v>3695.43</v>
      </c>
      <c r="Q128" s="28">
        <v>3074.19</v>
      </c>
      <c r="R128" s="28">
        <v>1911.05</v>
      </c>
      <c r="S128" s="28">
        <v>798.63</v>
      </c>
      <c r="T128" s="28">
        <v>99.96</v>
      </c>
    </row>
    <row r="129" ht="22.5" customHeight="1">
      <c r="A129" s="25">
        <v>126.0</v>
      </c>
      <c r="B129" s="25" t="s">
        <v>2</v>
      </c>
      <c r="C129" s="25" t="s">
        <v>218</v>
      </c>
      <c r="D129" s="25" t="s">
        <v>92</v>
      </c>
      <c r="E129" s="30">
        <v>121.0</v>
      </c>
      <c r="F129" s="25">
        <v>115.0</v>
      </c>
      <c r="G129" s="30">
        <v>6.0</v>
      </c>
      <c r="H129" s="25" t="s">
        <v>71</v>
      </c>
      <c r="I129" s="25" t="s">
        <v>219</v>
      </c>
      <c r="J129" s="25">
        <v>60.0</v>
      </c>
      <c r="K129" s="28">
        <v>9448.05</v>
      </c>
      <c r="L129" s="29">
        <v>9236.02</v>
      </c>
      <c r="M129" s="29">
        <f t="shared" si="1"/>
        <v>212.03</v>
      </c>
      <c r="N129" s="29">
        <f t="shared" si="2"/>
        <v>12721.8</v>
      </c>
      <c r="O129" s="28">
        <v>1918.07</v>
      </c>
      <c r="P129" s="28">
        <v>2902.27</v>
      </c>
      <c r="Q129" s="28">
        <v>2427.58</v>
      </c>
      <c r="R129" s="28">
        <v>2200.1</v>
      </c>
      <c r="S129" s="28">
        <v>7936.41</v>
      </c>
      <c r="T129" s="28">
        <v>1123.23</v>
      </c>
    </row>
    <row r="130" ht="22.5" customHeight="1">
      <c r="A130" s="25">
        <v>127.0</v>
      </c>
      <c r="B130" s="25" t="s">
        <v>2</v>
      </c>
      <c r="C130" s="25" t="s">
        <v>495</v>
      </c>
      <c r="D130" s="25" t="s">
        <v>122</v>
      </c>
      <c r="E130" s="25">
        <v>22.0</v>
      </c>
      <c r="F130" s="25">
        <v>22.0</v>
      </c>
      <c r="G130" s="25"/>
      <c r="H130" s="25" t="s">
        <v>71</v>
      </c>
      <c r="I130" s="25" t="s">
        <v>496</v>
      </c>
      <c r="J130" s="25">
        <v>40.0</v>
      </c>
      <c r="K130" s="28">
        <v>3227.48</v>
      </c>
      <c r="L130" s="29">
        <v>3054.51</v>
      </c>
      <c r="M130" s="29">
        <f t="shared" si="1"/>
        <v>172.97</v>
      </c>
      <c r="N130" s="29">
        <f t="shared" si="2"/>
        <v>6918.8</v>
      </c>
      <c r="O130" s="28">
        <v>435.43</v>
      </c>
      <c r="P130" s="28">
        <v>958.9</v>
      </c>
      <c r="Q130" s="28">
        <v>808.38</v>
      </c>
      <c r="R130" s="28">
        <v>1024.75</v>
      </c>
      <c r="S130" s="28">
        <v>23.24</v>
      </c>
      <c r="T130" s="28">
        <v>191.16</v>
      </c>
    </row>
    <row r="131" ht="22.5" customHeight="1">
      <c r="A131" s="25">
        <v>128.0</v>
      </c>
      <c r="B131" s="25" t="s">
        <v>2</v>
      </c>
      <c r="C131" s="25" t="s">
        <v>497</v>
      </c>
      <c r="D131" s="25" t="s">
        <v>122</v>
      </c>
      <c r="E131" s="30">
        <v>52.0</v>
      </c>
      <c r="F131" s="25">
        <v>47.0</v>
      </c>
      <c r="G131" s="30">
        <v>5.0</v>
      </c>
      <c r="H131" s="25" t="s">
        <v>71</v>
      </c>
      <c r="I131" s="25" t="s">
        <v>499</v>
      </c>
      <c r="J131" s="25">
        <v>60.0</v>
      </c>
      <c r="K131" s="28">
        <v>8140.79</v>
      </c>
      <c r="L131" s="29">
        <v>8007.21</v>
      </c>
      <c r="M131" s="29">
        <f t="shared" si="1"/>
        <v>133.58</v>
      </c>
      <c r="N131" s="29">
        <f t="shared" si="2"/>
        <v>8014.8</v>
      </c>
      <c r="O131" s="28">
        <v>1620.0</v>
      </c>
      <c r="P131" s="28">
        <v>2782.21</v>
      </c>
      <c r="Q131" s="28">
        <v>2382.67</v>
      </c>
      <c r="R131" s="28">
        <v>1355.89</v>
      </c>
      <c r="S131" s="28">
        <v>597.14</v>
      </c>
      <c r="T131" s="28">
        <v>169.17</v>
      </c>
    </row>
    <row r="132" ht="22.5" customHeight="1">
      <c r="A132" s="25">
        <v>129.0</v>
      </c>
      <c r="B132" s="25" t="s">
        <v>2</v>
      </c>
      <c r="C132" s="25" t="s">
        <v>502</v>
      </c>
      <c r="D132" s="25" t="s">
        <v>92</v>
      </c>
      <c r="E132" s="30">
        <v>27.0</v>
      </c>
      <c r="F132" s="25">
        <v>25.0</v>
      </c>
      <c r="G132" s="30">
        <v>2.0</v>
      </c>
      <c r="H132" s="25" t="s">
        <v>71</v>
      </c>
      <c r="I132" s="25" t="s">
        <v>506</v>
      </c>
      <c r="J132" s="25">
        <v>60.0</v>
      </c>
      <c r="K132" s="28">
        <v>342.55</v>
      </c>
      <c r="L132" s="29">
        <v>322.2</v>
      </c>
      <c r="M132" s="29">
        <f t="shared" si="1"/>
        <v>20.35</v>
      </c>
      <c r="N132" s="29">
        <f t="shared" si="2"/>
        <v>1221</v>
      </c>
      <c r="O132" s="28">
        <v>46.19</v>
      </c>
      <c r="P132" s="28">
        <v>104.28</v>
      </c>
      <c r="Q132" s="28">
        <v>91.19</v>
      </c>
      <c r="R132" s="28">
        <v>100.87</v>
      </c>
      <c r="S132" s="28">
        <v>40.37</v>
      </c>
      <c r="T132" s="28">
        <v>7.33</v>
      </c>
    </row>
    <row r="133" ht="22.5" customHeight="1">
      <c r="A133" s="25">
        <v>130.0</v>
      </c>
      <c r="B133" s="25" t="s">
        <v>2</v>
      </c>
      <c r="C133" s="25" t="s">
        <v>507</v>
      </c>
      <c r="D133" s="25" t="s">
        <v>68</v>
      </c>
      <c r="E133" s="25">
        <v>24.0</v>
      </c>
      <c r="F133" s="25">
        <v>24.0</v>
      </c>
      <c r="G133" s="25"/>
      <c r="H133" s="25" t="s">
        <v>71</v>
      </c>
      <c r="I133" s="25" t="s">
        <v>508</v>
      </c>
      <c r="J133" s="25">
        <v>60.0</v>
      </c>
      <c r="K133" s="28">
        <v>687.55</v>
      </c>
      <c r="L133" s="29">
        <v>656.09</v>
      </c>
      <c r="M133" s="29">
        <f t="shared" si="1"/>
        <v>31.46</v>
      </c>
      <c r="N133" s="29">
        <f t="shared" si="2"/>
        <v>1887.6</v>
      </c>
      <c r="O133" s="28">
        <v>82.08</v>
      </c>
      <c r="P133" s="28">
        <v>197.35</v>
      </c>
      <c r="Q133" s="28">
        <v>189.62</v>
      </c>
      <c r="R133" s="28">
        <v>218.47</v>
      </c>
      <c r="S133" s="28">
        <v>34.23</v>
      </c>
      <c r="T133" s="28">
        <v>29.26</v>
      </c>
    </row>
    <row r="134" ht="22.5" customHeight="1">
      <c r="A134" s="25">
        <v>131.0</v>
      </c>
      <c r="B134" s="25" t="s">
        <v>2</v>
      </c>
      <c r="C134" s="25" t="s">
        <v>509</v>
      </c>
      <c r="D134" s="25" t="s">
        <v>92</v>
      </c>
      <c r="E134" s="30">
        <v>145.0</v>
      </c>
      <c r="F134" s="25">
        <v>144.0</v>
      </c>
      <c r="G134" s="30">
        <v>1.0</v>
      </c>
      <c r="H134" s="25" t="s">
        <v>71</v>
      </c>
      <c r="I134" s="25" t="s">
        <v>511</v>
      </c>
      <c r="J134" s="25">
        <v>40.0</v>
      </c>
      <c r="K134" s="28">
        <v>4510.04</v>
      </c>
      <c r="L134" s="29">
        <v>4019.8</v>
      </c>
      <c r="M134" s="29">
        <f t="shared" si="1"/>
        <v>490.24</v>
      </c>
      <c r="N134" s="29">
        <f t="shared" si="2"/>
        <v>19609.6</v>
      </c>
      <c r="O134" s="28">
        <v>580.74</v>
      </c>
      <c r="P134" s="28">
        <v>1447.58</v>
      </c>
      <c r="Q134" s="28">
        <v>1187.9</v>
      </c>
      <c r="R134" s="28">
        <v>1293.8</v>
      </c>
      <c r="S134" s="28">
        <v>69.11</v>
      </c>
      <c r="T134" s="28">
        <v>159.92</v>
      </c>
    </row>
    <row r="135" ht="22.5" customHeight="1">
      <c r="A135" s="25">
        <v>132.0</v>
      </c>
      <c r="B135" s="25" t="s">
        <v>2</v>
      </c>
      <c r="C135" s="25" t="s">
        <v>512</v>
      </c>
      <c r="D135" s="25" t="s">
        <v>86</v>
      </c>
      <c r="E135" s="30">
        <v>88.0</v>
      </c>
      <c r="F135" s="25">
        <v>81.0</v>
      </c>
      <c r="G135" s="30">
        <v>7.0</v>
      </c>
      <c r="H135" s="25" t="s">
        <v>71</v>
      </c>
      <c r="I135" s="25" t="s">
        <v>516</v>
      </c>
      <c r="J135" s="25">
        <v>60.0</v>
      </c>
      <c r="K135" s="28">
        <v>3600.15</v>
      </c>
      <c r="L135" s="29">
        <v>3444.95</v>
      </c>
      <c r="M135" s="29">
        <f t="shared" si="1"/>
        <v>155.2</v>
      </c>
      <c r="N135" s="29">
        <f t="shared" si="2"/>
        <v>9312</v>
      </c>
      <c r="O135" s="28">
        <v>465.39</v>
      </c>
      <c r="P135" s="28">
        <v>1013.49</v>
      </c>
      <c r="Q135" s="28">
        <v>928.64</v>
      </c>
      <c r="R135" s="28">
        <v>1192.62</v>
      </c>
      <c r="S135" s="28">
        <v>116.51</v>
      </c>
      <c r="T135" s="28">
        <v>124.32</v>
      </c>
    </row>
    <row r="136" ht="22.5" customHeight="1">
      <c r="A136" s="25">
        <v>133.0</v>
      </c>
      <c r="B136" s="25" t="s">
        <v>2</v>
      </c>
      <c r="C136" s="25" t="s">
        <v>517</v>
      </c>
      <c r="D136" s="25" t="s">
        <v>92</v>
      </c>
      <c r="E136" s="30">
        <v>74.0</v>
      </c>
      <c r="F136" s="25">
        <v>67.0</v>
      </c>
      <c r="G136" s="30">
        <v>7.0</v>
      </c>
      <c r="H136" s="25" t="s">
        <v>71</v>
      </c>
      <c r="I136" s="25" t="s">
        <v>518</v>
      </c>
      <c r="J136" s="25">
        <v>20.0</v>
      </c>
      <c r="K136" s="28">
        <v>4742.71</v>
      </c>
      <c r="L136" s="29">
        <v>4691.81</v>
      </c>
      <c r="M136" s="29">
        <f t="shared" si="1"/>
        <v>50.9</v>
      </c>
      <c r="N136" s="29">
        <f t="shared" si="2"/>
        <v>1018</v>
      </c>
      <c r="O136" s="28">
        <v>781.35</v>
      </c>
      <c r="P136" s="28">
        <v>1549.93</v>
      </c>
      <c r="Q136" s="28">
        <v>1241.11</v>
      </c>
      <c r="R136" s="28">
        <v>1170.31</v>
      </c>
      <c r="S136" s="28">
        <v>199.72</v>
      </c>
      <c r="T136" s="28">
        <v>45.5</v>
      </c>
    </row>
    <row r="137" ht="22.5" customHeight="1">
      <c r="A137" s="25">
        <v>134.0</v>
      </c>
      <c r="B137" s="25" t="s">
        <v>2</v>
      </c>
      <c r="C137" s="25" t="s">
        <v>522</v>
      </c>
      <c r="D137" s="25" t="s">
        <v>122</v>
      </c>
      <c r="E137" s="30">
        <v>60.0</v>
      </c>
      <c r="F137" s="25">
        <v>59.0</v>
      </c>
      <c r="G137" s="30">
        <v>1.0</v>
      </c>
      <c r="H137" s="25" t="s">
        <v>71</v>
      </c>
      <c r="I137" s="25" t="s">
        <v>523</v>
      </c>
      <c r="J137" s="25">
        <v>40.0</v>
      </c>
      <c r="K137" s="28">
        <v>1598.0</v>
      </c>
      <c r="L137" s="29">
        <v>1351.22</v>
      </c>
      <c r="M137" s="29">
        <f t="shared" si="1"/>
        <v>246.78</v>
      </c>
      <c r="N137" s="29">
        <f t="shared" si="2"/>
        <v>9871.2</v>
      </c>
      <c r="O137" s="28">
        <v>436.06</v>
      </c>
      <c r="P137" s="28">
        <v>471.54</v>
      </c>
      <c r="Q137" s="28">
        <v>690.38</v>
      </c>
      <c r="R137" s="28">
        <v>0.0</v>
      </c>
      <c r="S137" s="28">
        <v>187.91</v>
      </c>
      <c r="T137" s="28">
        <v>27.51</v>
      </c>
    </row>
    <row r="138" ht="22.5" customHeight="1">
      <c r="A138" s="25">
        <v>135.0</v>
      </c>
      <c r="B138" s="25" t="s">
        <v>2</v>
      </c>
      <c r="C138" s="25" t="s">
        <v>526</v>
      </c>
      <c r="D138" s="25" t="s">
        <v>83</v>
      </c>
      <c r="E138" s="25">
        <v>39.0</v>
      </c>
      <c r="F138" s="25">
        <v>39.0</v>
      </c>
      <c r="G138" s="25"/>
      <c r="H138" s="25" t="s">
        <v>71</v>
      </c>
      <c r="I138" s="25" t="s">
        <v>528</v>
      </c>
      <c r="J138" s="25">
        <v>80.0</v>
      </c>
      <c r="K138" s="28">
        <v>988.85</v>
      </c>
      <c r="L138" s="29">
        <v>942.62</v>
      </c>
      <c r="M138" s="29">
        <f t="shared" si="1"/>
        <v>46.23</v>
      </c>
      <c r="N138" s="29">
        <f t="shared" si="2"/>
        <v>3698.4</v>
      </c>
      <c r="O138" s="28">
        <v>139.89</v>
      </c>
      <c r="P138" s="28">
        <v>288.3</v>
      </c>
      <c r="Q138" s="28">
        <v>272.63</v>
      </c>
      <c r="R138" s="28">
        <v>287.99</v>
      </c>
      <c r="S138" s="28">
        <v>27.04</v>
      </c>
      <c r="T138" s="28">
        <v>28.19</v>
      </c>
    </row>
    <row r="139" ht="22.5" customHeight="1">
      <c r="A139" s="25">
        <v>136.0</v>
      </c>
      <c r="B139" s="25" t="s">
        <v>2</v>
      </c>
      <c r="C139" s="25" t="s">
        <v>529</v>
      </c>
      <c r="D139" s="25" t="s">
        <v>92</v>
      </c>
      <c r="E139" s="25">
        <v>29.0</v>
      </c>
      <c r="F139" s="25">
        <v>29.0</v>
      </c>
      <c r="G139" s="25"/>
      <c r="H139" s="25" t="s">
        <v>71</v>
      </c>
      <c r="I139" s="25" t="s">
        <v>530</v>
      </c>
      <c r="J139" s="25">
        <v>40.0</v>
      </c>
      <c r="K139" s="28">
        <v>4008.16</v>
      </c>
      <c r="L139" s="29">
        <v>3844.97</v>
      </c>
      <c r="M139" s="29">
        <f t="shared" si="1"/>
        <v>163.19</v>
      </c>
      <c r="N139" s="29">
        <f t="shared" si="2"/>
        <v>6527.6</v>
      </c>
      <c r="O139" s="28">
        <v>1210.73</v>
      </c>
      <c r="P139" s="28">
        <v>1372.69</v>
      </c>
      <c r="Q139" s="28">
        <v>1020.64</v>
      </c>
      <c r="R139" s="28">
        <v>404.08</v>
      </c>
      <c r="S139" s="28">
        <v>622.01</v>
      </c>
      <c r="T139" s="28">
        <v>38.99</v>
      </c>
    </row>
    <row r="140" ht="22.5" customHeight="1">
      <c r="A140" s="25">
        <v>137.0</v>
      </c>
      <c r="B140" s="25" t="s">
        <v>2</v>
      </c>
      <c r="C140" s="25" t="s">
        <v>534</v>
      </c>
      <c r="D140" s="25" t="s">
        <v>92</v>
      </c>
      <c r="E140" s="30">
        <v>26.0</v>
      </c>
      <c r="F140" s="25">
        <v>24.0</v>
      </c>
      <c r="G140" s="30">
        <v>2.0</v>
      </c>
      <c r="H140" s="25" t="s">
        <v>71</v>
      </c>
      <c r="I140" s="25" t="s">
        <v>535</v>
      </c>
      <c r="J140" s="25">
        <v>60.0</v>
      </c>
      <c r="K140" s="28">
        <v>1251.59</v>
      </c>
      <c r="L140" s="29">
        <v>1177.69</v>
      </c>
      <c r="M140" s="29">
        <f t="shared" si="1"/>
        <v>73.9</v>
      </c>
      <c r="N140" s="29">
        <f t="shared" si="2"/>
        <v>4434</v>
      </c>
      <c r="O140" s="28">
        <v>156.36</v>
      </c>
      <c r="P140" s="28">
        <v>410.98</v>
      </c>
      <c r="Q140" s="28">
        <v>336.28</v>
      </c>
      <c r="R140" s="28">
        <v>347.97</v>
      </c>
      <c r="S140" s="28">
        <v>192.12</v>
      </c>
      <c r="T140" s="28">
        <v>8.8</v>
      </c>
    </row>
    <row r="141" ht="22.5" customHeight="1">
      <c r="A141" s="25">
        <v>138.0</v>
      </c>
      <c r="B141" s="25" t="s">
        <v>2</v>
      </c>
      <c r="C141" s="25" t="s">
        <v>536</v>
      </c>
      <c r="D141" s="25" t="s">
        <v>92</v>
      </c>
      <c r="E141" s="25">
        <v>161.0</v>
      </c>
      <c r="F141" s="25">
        <v>161.0</v>
      </c>
      <c r="G141" s="25"/>
      <c r="H141" s="25" t="s">
        <v>71</v>
      </c>
      <c r="I141" s="25" t="s">
        <v>539</v>
      </c>
      <c r="J141" s="25">
        <v>80.0</v>
      </c>
      <c r="K141" s="28">
        <v>18924.87</v>
      </c>
      <c r="L141" s="29">
        <v>18575.77</v>
      </c>
      <c r="M141" s="29">
        <f t="shared" si="1"/>
        <v>349.1</v>
      </c>
      <c r="N141" s="29">
        <f t="shared" si="2"/>
        <v>27928</v>
      </c>
      <c r="O141" s="28">
        <v>4275.42</v>
      </c>
      <c r="P141" s="28">
        <v>6424.55</v>
      </c>
      <c r="Q141" s="28">
        <v>5408.49</v>
      </c>
      <c r="R141" s="28">
        <v>2816.39</v>
      </c>
      <c r="S141" s="28">
        <v>1883.27</v>
      </c>
      <c r="T141" s="28">
        <v>78.98</v>
      </c>
    </row>
    <row r="142" ht="22.5" customHeight="1">
      <c r="A142" s="25">
        <v>139.0</v>
      </c>
      <c r="B142" s="25" t="s">
        <v>2</v>
      </c>
      <c r="C142" s="25" t="s">
        <v>541</v>
      </c>
      <c r="D142" s="25" t="s">
        <v>92</v>
      </c>
      <c r="E142" s="30">
        <v>136.0</v>
      </c>
      <c r="F142" s="25">
        <v>134.0</v>
      </c>
      <c r="G142" s="30">
        <v>2.0</v>
      </c>
      <c r="H142" s="25" t="s">
        <v>71</v>
      </c>
      <c r="I142" s="25" t="s">
        <v>542</v>
      </c>
      <c r="J142" s="25">
        <v>40.0</v>
      </c>
      <c r="K142" s="28">
        <v>11128.79</v>
      </c>
      <c r="L142" s="29">
        <v>10999.23</v>
      </c>
      <c r="M142" s="29">
        <f t="shared" si="1"/>
        <v>129.56</v>
      </c>
      <c r="N142" s="29">
        <f t="shared" si="2"/>
        <v>5182.4</v>
      </c>
      <c r="O142" s="28">
        <v>2561.74</v>
      </c>
      <c r="P142" s="28">
        <v>3606.42</v>
      </c>
      <c r="Q142" s="28">
        <v>3034.21</v>
      </c>
      <c r="R142" s="28">
        <v>1926.4</v>
      </c>
      <c r="S142" s="28">
        <v>860.4</v>
      </c>
      <c r="T142" s="28">
        <v>17.09</v>
      </c>
    </row>
    <row r="143" ht="22.5" customHeight="1">
      <c r="A143" s="25">
        <v>140.0</v>
      </c>
      <c r="B143" s="25" t="s">
        <v>2</v>
      </c>
      <c r="C143" s="25" t="s">
        <v>545</v>
      </c>
      <c r="D143" s="25" t="s">
        <v>92</v>
      </c>
      <c r="E143" s="25">
        <v>27.0</v>
      </c>
      <c r="F143" s="25">
        <v>27.0</v>
      </c>
      <c r="G143" s="25"/>
      <c r="H143" s="25" t="s">
        <v>71</v>
      </c>
      <c r="I143" s="25" t="s">
        <v>547</v>
      </c>
      <c r="J143" s="25">
        <v>120.0</v>
      </c>
      <c r="K143" s="28">
        <v>432.51</v>
      </c>
      <c r="L143" s="29">
        <v>409.49</v>
      </c>
      <c r="M143" s="29">
        <f t="shared" si="1"/>
        <v>23.02</v>
      </c>
      <c r="N143" s="29">
        <f t="shared" si="2"/>
        <v>2762.4</v>
      </c>
      <c r="O143" s="28">
        <v>124.08</v>
      </c>
      <c r="P143" s="28">
        <v>177.83</v>
      </c>
      <c r="Q143" s="28">
        <v>130.6</v>
      </c>
      <c r="R143" s="28">
        <v>0.0</v>
      </c>
      <c r="S143" s="28">
        <v>13.05</v>
      </c>
      <c r="T143" s="28">
        <v>13.07</v>
      </c>
    </row>
    <row r="144" ht="22.5" customHeight="1">
      <c r="A144" s="25">
        <v>141.0</v>
      </c>
      <c r="B144" s="25" t="s">
        <v>2</v>
      </c>
      <c r="C144" s="25" t="s">
        <v>548</v>
      </c>
      <c r="D144" s="25" t="s">
        <v>76</v>
      </c>
      <c r="E144" s="30">
        <v>65.0</v>
      </c>
      <c r="F144" s="25">
        <v>64.0</v>
      </c>
      <c r="G144" s="30">
        <v>1.0</v>
      </c>
      <c r="H144" s="25" t="s">
        <v>71</v>
      </c>
      <c r="I144" s="25" t="s">
        <v>549</v>
      </c>
      <c r="J144" s="25">
        <v>60.0</v>
      </c>
      <c r="K144" s="28">
        <v>14691.46</v>
      </c>
      <c r="L144" s="29">
        <v>14555.16</v>
      </c>
      <c r="M144" s="29">
        <f t="shared" si="1"/>
        <v>136.3</v>
      </c>
      <c r="N144" s="29">
        <f t="shared" si="2"/>
        <v>8178</v>
      </c>
      <c r="O144" s="28">
        <v>2389.58</v>
      </c>
      <c r="P144" s="28">
        <v>4648.1</v>
      </c>
      <c r="Q144" s="28">
        <v>4017.25</v>
      </c>
      <c r="R144" s="28">
        <v>3636.5</v>
      </c>
      <c r="S144" s="28">
        <v>460.22</v>
      </c>
      <c r="T144" s="28">
        <v>1890.14</v>
      </c>
    </row>
    <row r="145" ht="22.5" customHeight="1">
      <c r="A145" s="25">
        <v>142.0</v>
      </c>
      <c r="B145" s="25" t="s">
        <v>2</v>
      </c>
      <c r="C145" s="25" t="s">
        <v>551</v>
      </c>
      <c r="D145" s="25" t="s">
        <v>76</v>
      </c>
      <c r="E145" s="25">
        <v>4.0</v>
      </c>
      <c r="F145" s="25">
        <v>4.0</v>
      </c>
      <c r="G145" s="25"/>
      <c r="H145" s="25" t="s">
        <v>71</v>
      </c>
      <c r="I145" s="25" t="s">
        <v>552</v>
      </c>
      <c r="J145" s="25">
        <v>60.0</v>
      </c>
      <c r="K145" s="28">
        <v>560.89</v>
      </c>
      <c r="L145" s="29">
        <v>516.15</v>
      </c>
      <c r="M145" s="29">
        <f t="shared" si="1"/>
        <v>44.74</v>
      </c>
      <c r="N145" s="29">
        <f t="shared" si="2"/>
        <v>2684.4</v>
      </c>
      <c r="O145" s="28">
        <v>77.44</v>
      </c>
      <c r="P145" s="28">
        <v>174.02</v>
      </c>
      <c r="Q145" s="28">
        <v>154.17</v>
      </c>
      <c r="R145" s="28">
        <v>155.24</v>
      </c>
      <c r="S145" s="28">
        <v>4.77</v>
      </c>
      <c r="T145" s="28">
        <v>52.49</v>
      </c>
    </row>
    <row r="146" ht="22.5" customHeight="1">
      <c r="A146" s="25">
        <v>143.0</v>
      </c>
      <c r="B146" s="31" t="s">
        <v>2</v>
      </c>
      <c r="C146" s="31" t="s">
        <v>556</v>
      </c>
      <c r="D146" s="31" t="s">
        <v>122</v>
      </c>
      <c r="E146" s="31">
        <v>21.0</v>
      </c>
      <c r="F146" s="25">
        <v>21.0</v>
      </c>
      <c r="G146" s="31"/>
      <c r="H146" s="31" t="s">
        <v>71</v>
      </c>
      <c r="I146" s="31" t="s">
        <v>557</v>
      </c>
      <c r="J146" s="31">
        <v>60.0</v>
      </c>
      <c r="K146" s="32">
        <v>385.28</v>
      </c>
      <c r="L146" s="33">
        <v>359.38</v>
      </c>
      <c r="M146" s="33">
        <f t="shared" si="1"/>
        <v>25.9</v>
      </c>
      <c r="N146" s="33">
        <f t="shared" si="2"/>
        <v>1554</v>
      </c>
      <c r="O146" s="28">
        <v>48.33</v>
      </c>
      <c r="P146" s="28">
        <v>107.23</v>
      </c>
      <c r="Q146" s="28">
        <v>109.51</v>
      </c>
      <c r="R146" s="28">
        <v>120.18</v>
      </c>
      <c r="S146" s="28">
        <v>136.47</v>
      </c>
      <c r="T146" s="28">
        <v>189.72</v>
      </c>
    </row>
  </sheetData>
  <autoFilter ref="$A$3:$T$146">
    <sortState ref="A3:T146">
      <sortCondition ref="C3:C146"/>
    </sortState>
  </autoFilter>
  <mergeCells count="2">
    <mergeCell ref="A1:B1"/>
    <mergeCell ref="E2:G2"/>
  </mergeCells>
  <printOptions/>
  <pageMargins bottom="0.268999993801117" footer="0.0" header="0.0" left="0.268999993801117" right="0.268999993801117" top="0.268999993801117"/>
  <pageSetup paperSize="9" orientation="portrait" pageOrder="overThenDown"/>
  <colBreaks count="1" manualBreakCount="1">
    <brk id="2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6.71"/>
    <col customWidth="1" min="3" max="3" width="25.71"/>
    <col customWidth="1" min="4" max="4" width="28.29"/>
    <col customWidth="1" min="5" max="5" width="20.29"/>
    <col customWidth="1" min="6" max="6" width="18.43"/>
    <col customWidth="1" min="7" max="7" width="27.57"/>
    <col customWidth="1" min="8" max="8" width="22.14"/>
    <col customWidth="1" min="9" max="10" width="16.14"/>
    <col customWidth="1" min="11" max="11" width="17.86"/>
    <col customWidth="1" min="12" max="12" width="15.43"/>
    <col customWidth="1" min="13" max="13" width="11.86"/>
    <col customWidth="1" min="14" max="14" width="11.57"/>
    <col customWidth="1" min="15" max="15" width="12.14"/>
    <col customWidth="1" min="16" max="16" width="17.0"/>
    <col customWidth="1" min="17" max="17" width="11.71"/>
    <col customWidth="1" min="18" max="19" width="12.29"/>
    <col customWidth="1" min="20" max="20" width="13.29"/>
    <col customWidth="1" min="21" max="21" width="17.0"/>
    <col customWidth="1" min="22" max="22" width="16.71"/>
    <col customWidth="1" min="23" max="23" width="12.29"/>
    <col customWidth="1" min="24" max="24" width="12.43"/>
    <col customWidth="1" min="25" max="25" width="13.29"/>
    <col customWidth="1" min="26" max="26" width="12.0"/>
    <col customWidth="1" min="27" max="27" width="13.14"/>
    <col customWidth="1" min="28" max="28" width="12.57"/>
    <col customWidth="1" min="29" max="29" width="12.29"/>
    <col customWidth="1" min="30" max="30" width="15.0"/>
    <col customWidth="1" min="31" max="31" width="13.0"/>
    <col customWidth="1" min="32" max="32" width="16.71"/>
    <col customWidth="1" min="33" max="33" width="18.57"/>
    <col customWidth="1" min="34" max="34" width="17.14"/>
    <col customWidth="1" min="35" max="35" width="16.71"/>
    <col customWidth="1" min="36" max="36" width="17.71"/>
  </cols>
  <sheetData>
    <row r="1" ht="36.75" customHeight="1">
      <c r="A1" s="2" t="s">
        <v>0</v>
      </c>
    </row>
    <row r="2" ht="25.5" customHeight="1">
      <c r="A2" s="3"/>
      <c r="B2" s="4" t="s">
        <v>1</v>
      </c>
      <c r="C2" s="6" t="s">
        <v>2</v>
      </c>
      <c r="D2" s="4" t="s">
        <v>3</v>
      </c>
      <c r="E2" s="6">
        <v>286.0</v>
      </c>
      <c r="F2" s="4" t="s">
        <v>4</v>
      </c>
      <c r="G2" s="3" t="s">
        <v>5</v>
      </c>
      <c r="K2" s="4" t="s">
        <v>6</v>
      </c>
      <c r="L2" s="6"/>
      <c r="P2" s="6"/>
      <c r="U2" s="8"/>
      <c r="V2" s="6"/>
      <c r="AA2" s="3"/>
      <c r="AF2" s="3"/>
      <c r="AG2" s="4" t="s">
        <v>7</v>
      </c>
      <c r="AI2" s="12">
        <v>46235.3993055556</v>
      </c>
    </row>
    <row r="3" ht="25.5" customHeight="1">
      <c r="A3" s="13" t="s">
        <v>8</v>
      </c>
      <c r="B3" s="13" t="s">
        <v>10</v>
      </c>
      <c r="C3" s="13" t="s">
        <v>12</v>
      </c>
      <c r="D3" s="13" t="s">
        <v>14</v>
      </c>
      <c r="E3" s="13" t="s">
        <v>15</v>
      </c>
      <c r="F3" s="13" t="s">
        <v>17</v>
      </c>
      <c r="G3" s="13" t="s">
        <v>18</v>
      </c>
      <c r="H3" s="13" t="s">
        <v>20</v>
      </c>
      <c r="I3" s="13" t="s">
        <v>21</v>
      </c>
      <c r="J3" s="13" t="s">
        <v>22</v>
      </c>
      <c r="K3" s="13" t="s">
        <v>23</v>
      </c>
      <c r="L3" s="13" t="s">
        <v>24</v>
      </c>
      <c r="M3" s="13" t="s">
        <v>26</v>
      </c>
      <c r="N3" s="13" t="s">
        <v>27</v>
      </c>
      <c r="O3" s="13" t="s">
        <v>31</v>
      </c>
      <c r="P3" s="13" t="s">
        <v>33</v>
      </c>
      <c r="Q3" s="13" t="s">
        <v>35</v>
      </c>
      <c r="R3" s="13" t="s">
        <v>37</v>
      </c>
      <c r="S3" s="13" t="s">
        <v>38</v>
      </c>
      <c r="T3" s="13" t="s">
        <v>39</v>
      </c>
      <c r="U3" s="13" t="s">
        <v>40</v>
      </c>
      <c r="V3" s="13" t="s">
        <v>42</v>
      </c>
      <c r="W3" s="13" t="s">
        <v>44</v>
      </c>
      <c r="X3" s="13" t="s">
        <v>45</v>
      </c>
      <c r="Y3" s="13" t="s">
        <v>46</v>
      </c>
      <c r="Z3" s="13" t="s">
        <v>47</v>
      </c>
      <c r="AA3" s="13" t="s">
        <v>48</v>
      </c>
      <c r="AB3" s="13" t="s">
        <v>50</v>
      </c>
      <c r="AC3" s="13" t="s">
        <v>52</v>
      </c>
      <c r="AD3" s="13" t="s">
        <v>54</v>
      </c>
      <c r="AE3" s="13" t="s">
        <v>55</v>
      </c>
      <c r="AF3" s="13" t="s">
        <v>56</v>
      </c>
      <c r="AG3" s="13" t="s">
        <v>57</v>
      </c>
      <c r="AH3" s="13" t="s">
        <v>58</v>
      </c>
      <c r="AI3" s="13" t="s">
        <v>59</v>
      </c>
      <c r="AJ3" s="13" t="s">
        <v>61</v>
      </c>
    </row>
    <row r="4" ht="25.5" customHeight="1">
      <c r="A4" s="23">
        <v>1.0</v>
      </c>
      <c r="B4" s="24">
        <v>46204.0</v>
      </c>
      <c r="C4" s="26" t="s">
        <v>2</v>
      </c>
      <c r="D4" s="26" t="s">
        <v>65</v>
      </c>
      <c r="E4" s="23" t="s">
        <v>67</v>
      </c>
      <c r="F4" s="23" t="s">
        <v>69</v>
      </c>
      <c r="G4" s="26"/>
      <c r="H4" s="26" t="s">
        <v>70</v>
      </c>
      <c r="I4" s="23" t="s">
        <v>72</v>
      </c>
      <c r="J4" s="23" t="s">
        <v>74</v>
      </c>
      <c r="K4" s="27">
        <v>4869.54</v>
      </c>
      <c r="L4" s="27">
        <v>1018.94</v>
      </c>
      <c r="M4" s="27">
        <v>1601.27</v>
      </c>
      <c r="N4" s="27">
        <v>1337.52</v>
      </c>
      <c r="O4" s="27">
        <v>911.8</v>
      </c>
      <c r="P4" s="27">
        <v>5112.15</v>
      </c>
      <c r="Q4" s="27">
        <v>1074.59</v>
      </c>
      <c r="R4" s="27">
        <v>1770.6</v>
      </c>
      <c r="S4" s="27">
        <v>1447.68</v>
      </c>
      <c r="T4" s="27">
        <v>819.26</v>
      </c>
      <c r="U4" s="27">
        <v>9981.69</v>
      </c>
      <c r="V4" s="27">
        <v>6003.23</v>
      </c>
      <c r="W4" s="27">
        <v>1257.87</v>
      </c>
      <c r="X4" s="27">
        <v>2117.45</v>
      </c>
      <c r="Y4" s="27">
        <v>1763.33</v>
      </c>
      <c r="Z4" s="27">
        <v>864.56</v>
      </c>
      <c r="AA4" s="27">
        <v>2410.71</v>
      </c>
      <c r="AB4" s="27">
        <v>464.8</v>
      </c>
      <c r="AC4" s="27">
        <v>774.34</v>
      </c>
      <c r="AD4" s="27">
        <v>596.32</v>
      </c>
      <c r="AE4" s="27">
        <v>575.23</v>
      </c>
      <c r="AF4" s="27">
        <v>8413.94</v>
      </c>
      <c r="AG4" s="27"/>
      <c r="AH4" s="27"/>
      <c r="AI4" s="27"/>
      <c r="AJ4" s="27"/>
    </row>
    <row r="5" ht="25.5" customHeight="1">
      <c r="A5" s="23">
        <v>2.0</v>
      </c>
      <c r="B5" s="24">
        <v>46204.0</v>
      </c>
      <c r="C5" s="26" t="s">
        <v>2</v>
      </c>
      <c r="D5" s="26" t="s">
        <v>77</v>
      </c>
      <c r="E5" s="23" t="s">
        <v>79</v>
      </c>
      <c r="F5" s="23" t="s">
        <v>80</v>
      </c>
      <c r="G5" s="26"/>
      <c r="H5" s="26" t="s">
        <v>70</v>
      </c>
      <c r="I5" s="23" t="s">
        <v>81</v>
      </c>
      <c r="J5" s="23" t="s">
        <v>74</v>
      </c>
      <c r="K5" s="27">
        <v>3357.52</v>
      </c>
      <c r="L5" s="27">
        <v>466.03</v>
      </c>
      <c r="M5" s="27">
        <v>1274.45</v>
      </c>
      <c r="N5" s="27">
        <v>725.74</v>
      </c>
      <c r="O5" s="27">
        <v>891.28</v>
      </c>
      <c r="P5" s="27">
        <v>3465.67</v>
      </c>
      <c r="Q5" s="27">
        <v>464.74</v>
      </c>
      <c r="R5" s="27">
        <v>1313.85</v>
      </c>
      <c r="S5" s="27">
        <v>766.66</v>
      </c>
      <c r="T5" s="27">
        <v>920.41</v>
      </c>
      <c r="U5" s="27">
        <v>6823.19</v>
      </c>
      <c r="V5" s="27">
        <v>1659.97</v>
      </c>
      <c r="W5" s="27">
        <v>232.99</v>
      </c>
      <c r="X5" s="27">
        <v>684.33</v>
      </c>
      <c r="Y5" s="27">
        <v>415.95</v>
      </c>
      <c r="Z5" s="27">
        <v>326.69</v>
      </c>
      <c r="AA5" s="27">
        <v>4749.0</v>
      </c>
      <c r="AB5" s="27">
        <v>628.08</v>
      </c>
      <c r="AC5" s="27">
        <v>1709.3</v>
      </c>
      <c r="AD5" s="27">
        <v>976.91</v>
      </c>
      <c r="AE5" s="27">
        <v>1434.7</v>
      </c>
      <c r="AF5" s="27">
        <v>6408.97</v>
      </c>
      <c r="AG5" s="27"/>
      <c r="AH5" s="27"/>
      <c r="AI5" s="27"/>
      <c r="AJ5" s="27"/>
    </row>
    <row r="6" ht="25.5" customHeight="1">
      <c r="A6" s="23">
        <v>3.0</v>
      </c>
      <c r="B6" s="24">
        <v>46204.0</v>
      </c>
      <c r="C6" s="26" t="s">
        <v>2</v>
      </c>
      <c r="D6" s="26" t="s">
        <v>88</v>
      </c>
      <c r="E6" s="23" t="s">
        <v>89</v>
      </c>
      <c r="F6" s="23" t="s">
        <v>90</v>
      </c>
      <c r="G6" s="26"/>
      <c r="H6" s="26" t="s">
        <v>70</v>
      </c>
      <c r="I6" s="23" t="s">
        <v>81</v>
      </c>
      <c r="J6" s="23" t="s">
        <v>74</v>
      </c>
      <c r="K6" s="27">
        <v>3152.58</v>
      </c>
      <c r="L6" s="27">
        <v>427.59</v>
      </c>
      <c r="M6" s="27">
        <v>997.37</v>
      </c>
      <c r="N6" s="27">
        <v>789.06</v>
      </c>
      <c r="O6" s="27">
        <v>938.55</v>
      </c>
      <c r="P6" s="27">
        <v>4157.36</v>
      </c>
      <c r="Q6" s="27">
        <v>626.28</v>
      </c>
      <c r="R6" s="27">
        <v>1348.74</v>
      </c>
      <c r="S6" s="27">
        <v>1037.44</v>
      </c>
      <c r="T6" s="27">
        <v>1144.88</v>
      </c>
      <c r="U6" s="27">
        <v>7309.94</v>
      </c>
      <c r="V6" s="27">
        <v>271.27</v>
      </c>
      <c r="W6" s="27">
        <v>31.39</v>
      </c>
      <c r="X6" s="27">
        <v>108.66</v>
      </c>
      <c r="Y6" s="27">
        <v>57.9</v>
      </c>
      <c r="Z6" s="27">
        <v>73.31</v>
      </c>
      <c r="AA6" s="27">
        <v>9010.44</v>
      </c>
      <c r="AB6" s="27">
        <v>1334.82</v>
      </c>
      <c r="AC6" s="27">
        <v>3081.02</v>
      </c>
      <c r="AD6" s="27">
        <v>2248.41</v>
      </c>
      <c r="AE6" s="27">
        <v>2346.17</v>
      </c>
      <c r="AF6" s="27">
        <v>9281.71</v>
      </c>
      <c r="AG6" s="27"/>
      <c r="AH6" s="27"/>
      <c r="AI6" s="27"/>
      <c r="AJ6" s="27"/>
    </row>
    <row r="7" ht="25.5" customHeight="1">
      <c r="A7" s="23">
        <v>4.0</v>
      </c>
      <c r="B7" s="24">
        <v>46204.0</v>
      </c>
      <c r="C7" s="26" t="s">
        <v>2</v>
      </c>
      <c r="D7" s="26" t="s">
        <v>96</v>
      </c>
      <c r="E7" s="23" t="s">
        <v>97</v>
      </c>
      <c r="F7" s="23" t="s">
        <v>98</v>
      </c>
      <c r="G7" s="26"/>
      <c r="H7" s="26" t="s">
        <v>70</v>
      </c>
      <c r="I7" s="23" t="s">
        <v>99</v>
      </c>
      <c r="J7" s="23" t="s">
        <v>74</v>
      </c>
      <c r="K7" s="27">
        <v>12379.11</v>
      </c>
      <c r="L7" s="27">
        <v>3105.56</v>
      </c>
      <c r="M7" s="27">
        <v>4229.9</v>
      </c>
      <c r="N7" s="27">
        <v>3269.54</v>
      </c>
      <c r="O7" s="27">
        <v>1774.1</v>
      </c>
      <c r="P7" s="27">
        <v>0.0</v>
      </c>
      <c r="Q7" s="27">
        <v>0.0</v>
      </c>
      <c r="R7" s="27">
        <v>0.0</v>
      </c>
      <c r="S7" s="27">
        <v>0.0</v>
      </c>
      <c r="T7" s="27">
        <v>0.0</v>
      </c>
      <c r="U7" s="27">
        <v>12379.11</v>
      </c>
      <c r="V7" s="27">
        <v>505.4</v>
      </c>
      <c r="W7" s="27">
        <v>110.78</v>
      </c>
      <c r="X7" s="27">
        <v>186.76</v>
      </c>
      <c r="Y7" s="27">
        <v>156.06</v>
      </c>
      <c r="Z7" s="27">
        <v>51.78</v>
      </c>
      <c r="AA7" s="27">
        <v>116.93</v>
      </c>
      <c r="AB7" s="27">
        <v>39.64</v>
      </c>
      <c r="AC7" s="27">
        <v>32.9</v>
      </c>
      <c r="AD7" s="27">
        <v>25.41</v>
      </c>
      <c r="AE7" s="27">
        <v>18.97</v>
      </c>
      <c r="AF7" s="27">
        <v>622.33</v>
      </c>
      <c r="AG7" s="27"/>
      <c r="AH7" s="27"/>
      <c r="AI7" s="27"/>
      <c r="AJ7" s="27"/>
    </row>
    <row r="8" ht="25.5" customHeight="1">
      <c r="A8" s="23">
        <v>5.0</v>
      </c>
      <c r="B8" s="24">
        <v>46204.0</v>
      </c>
      <c r="C8" s="26" t="s">
        <v>2</v>
      </c>
      <c r="D8" s="26" t="s">
        <v>103</v>
      </c>
      <c r="E8" s="23" t="s">
        <v>104</v>
      </c>
      <c r="F8" s="23" t="s">
        <v>106</v>
      </c>
      <c r="G8" s="26"/>
      <c r="H8" s="26" t="s">
        <v>70</v>
      </c>
      <c r="I8" s="23" t="s">
        <v>107</v>
      </c>
      <c r="J8" s="23" t="s">
        <v>74</v>
      </c>
      <c r="K8" s="27">
        <v>9035.2</v>
      </c>
      <c r="L8" s="27">
        <v>575.74</v>
      </c>
      <c r="M8" s="27">
        <v>3897.44</v>
      </c>
      <c r="N8" s="27">
        <v>3119.26</v>
      </c>
      <c r="O8" s="27">
        <v>1442.75</v>
      </c>
      <c r="P8" s="27">
        <v>0.0</v>
      </c>
      <c r="Q8" s="27">
        <v>0.0</v>
      </c>
      <c r="R8" s="27">
        <v>0.0</v>
      </c>
      <c r="S8" s="27">
        <v>0.0</v>
      </c>
      <c r="T8" s="27">
        <v>0.0</v>
      </c>
      <c r="U8" s="27">
        <v>9035.2</v>
      </c>
      <c r="V8" s="27">
        <v>556.43</v>
      </c>
      <c r="W8" s="27">
        <v>7.35</v>
      </c>
      <c r="X8" s="27">
        <v>238.49</v>
      </c>
      <c r="Y8" s="27">
        <v>177.59</v>
      </c>
      <c r="Z8" s="27">
        <v>132.99</v>
      </c>
      <c r="AA8" s="27">
        <v>171.26</v>
      </c>
      <c r="AB8" s="27">
        <v>26.55</v>
      </c>
      <c r="AC8" s="27">
        <v>71.65</v>
      </c>
      <c r="AD8" s="27">
        <v>46.59</v>
      </c>
      <c r="AE8" s="27">
        <v>26.46</v>
      </c>
      <c r="AF8" s="27">
        <v>727.69</v>
      </c>
      <c r="AG8" s="27">
        <f>IFERROR(__xludf.DUMMYFUNCTION("K8 * IFERROR(INDEX(SPLIT(I8, ""/""), 1) / INDEX(SPLIT(I8, ""/""), 2), 1) * IFERROR(INDEX(SPLIT(J8, ""/""), 1) / INDEX(SPLIT(J8, ""/""), 2), 1)"),361408.0)</f>
        <v>361408</v>
      </c>
      <c r="AH8" s="27"/>
      <c r="AI8" s="27"/>
      <c r="AJ8" s="27"/>
    </row>
    <row r="9" ht="25.5" customHeight="1">
      <c r="A9" s="23">
        <v>6.0</v>
      </c>
      <c r="B9" s="24">
        <v>46204.0</v>
      </c>
      <c r="C9" s="26" t="s">
        <v>2</v>
      </c>
      <c r="D9" s="26" t="s">
        <v>112</v>
      </c>
      <c r="E9" s="23" t="s">
        <v>114</v>
      </c>
      <c r="F9" s="23" t="s">
        <v>115</v>
      </c>
      <c r="G9" s="26"/>
      <c r="H9" s="26" t="s">
        <v>70</v>
      </c>
      <c r="I9" s="23" t="s">
        <v>81</v>
      </c>
      <c r="J9" s="23" t="s">
        <v>74</v>
      </c>
      <c r="K9" s="27">
        <v>10397.12</v>
      </c>
      <c r="L9" s="27">
        <v>1237.38</v>
      </c>
      <c r="M9" s="27">
        <v>4366.54</v>
      </c>
      <c r="N9" s="27">
        <v>2230.65</v>
      </c>
      <c r="O9" s="27">
        <v>2562.53</v>
      </c>
      <c r="P9" s="27">
        <v>0.01</v>
      </c>
      <c r="Q9" s="27">
        <v>0.0</v>
      </c>
      <c r="R9" s="27">
        <v>0.0</v>
      </c>
      <c r="S9" s="27">
        <v>0.0</v>
      </c>
      <c r="T9" s="27">
        <v>0.0</v>
      </c>
      <c r="U9" s="27">
        <v>10397.13</v>
      </c>
      <c r="V9" s="27">
        <v>1312.48</v>
      </c>
      <c r="W9" s="27">
        <v>162.75</v>
      </c>
      <c r="X9" s="27">
        <v>454.26</v>
      </c>
      <c r="Y9" s="27">
        <v>289.68</v>
      </c>
      <c r="Z9" s="27">
        <v>405.77</v>
      </c>
      <c r="AA9" s="27">
        <v>23.69</v>
      </c>
      <c r="AB9" s="27">
        <v>5.08</v>
      </c>
      <c r="AC9" s="27">
        <v>5.76</v>
      </c>
      <c r="AD9" s="27">
        <v>5.46</v>
      </c>
      <c r="AE9" s="27">
        <v>7.38</v>
      </c>
      <c r="AF9" s="27">
        <v>1336.17</v>
      </c>
      <c r="AG9" s="27">
        <f>IFERROR(__xludf.DUMMYFUNCTION("K9 * IFERROR(INDEX(SPLIT(I9, ""/""), 1) / INDEX(SPLIT(I9, ""/""), 2), 1) * IFERROR(INDEX(SPLIT(J9, ""/""), 1) / INDEX(SPLIT(J9, ""/""), 2), 1)"),831769.6000000001)</f>
        <v>831769.6</v>
      </c>
      <c r="AH9" s="27"/>
      <c r="AI9" s="27"/>
      <c r="AJ9" s="27"/>
    </row>
    <row r="10" ht="25.5" customHeight="1">
      <c r="A10" s="23">
        <v>7.0</v>
      </c>
      <c r="B10" s="24">
        <v>46204.0</v>
      </c>
      <c r="C10" s="26" t="s">
        <v>2</v>
      </c>
      <c r="D10" s="26" t="s">
        <v>121</v>
      </c>
      <c r="E10" s="23" t="s">
        <v>123</v>
      </c>
      <c r="F10" s="23" t="s">
        <v>125</v>
      </c>
      <c r="G10" s="26"/>
      <c r="H10" s="26" t="s">
        <v>70</v>
      </c>
      <c r="I10" s="23" t="s">
        <v>107</v>
      </c>
      <c r="J10" s="23" t="s">
        <v>74</v>
      </c>
      <c r="K10" s="27">
        <v>12144.69</v>
      </c>
      <c r="L10" s="27">
        <v>2678.53</v>
      </c>
      <c r="M10" s="27">
        <v>4243.37</v>
      </c>
      <c r="N10" s="27">
        <v>3789.59</v>
      </c>
      <c r="O10" s="27">
        <v>1433.19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12144.69</v>
      </c>
      <c r="V10" s="27">
        <v>1140.93</v>
      </c>
      <c r="W10" s="27">
        <v>191.22</v>
      </c>
      <c r="X10" s="27">
        <v>436.37</v>
      </c>
      <c r="Y10" s="27">
        <v>411.4</v>
      </c>
      <c r="Z10" s="27">
        <v>101.92</v>
      </c>
      <c r="AA10" s="27">
        <v>74.52</v>
      </c>
      <c r="AB10" s="27">
        <v>27.31</v>
      </c>
      <c r="AC10" s="27">
        <v>18.97</v>
      </c>
      <c r="AD10" s="27">
        <v>13.26</v>
      </c>
      <c r="AE10" s="27">
        <v>14.96</v>
      </c>
      <c r="AF10" s="27">
        <v>1215.45</v>
      </c>
      <c r="AG10" s="27">
        <f>IFERROR(__xludf.DUMMYFUNCTION("K10 * IFERROR(INDEX(SPLIT(I10, ""/""), 1) / INDEX(SPLIT(I10, ""/""), 2), 1) * IFERROR(INDEX(SPLIT(J10, ""/""), 1) / INDEX(SPLIT(J10, ""/""), 2), 1)"),485787.60000000003)</f>
        <v>485787.6</v>
      </c>
      <c r="AH10" s="27"/>
      <c r="AI10" s="27"/>
      <c r="AJ10" s="27"/>
    </row>
    <row r="11" ht="25.5" customHeight="1">
      <c r="A11" s="23">
        <v>8.0</v>
      </c>
      <c r="B11" s="24">
        <v>46204.0</v>
      </c>
      <c r="C11" s="26" t="s">
        <v>2</v>
      </c>
      <c r="D11" s="26" t="s">
        <v>129</v>
      </c>
      <c r="E11" s="23" t="s">
        <v>130</v>
      </c>
      <c r="F11" s="23" t="s">
        <v>131</v>
      </c>
      <c r="G11" s="26"/>
      <c r="H11" s="26" t="s">
        <v>70</v>
      </c>
      <c r="I11" s="23" t="s">
        <v>107</v>
      </c>
      <c r="J11" s="23" t="s">
        <v>74</v>
      </c>
      <c r="K11" s="27">
        <v>13112.75</v>
      </c>
      <c r="L11" s="27">
        <v>3040.82</v>
      </c>
      <c r="M11" s="27">
        <v>4601.29</v>
      </c>
      <c r="N11" s="27">
        <v>3609.15</v>
      </c>
      <c r="O11" s="27">
        <v>1861.48</v>
      </c>
      <c r="P11" s="27">
        <v>1132.27</v>
      </c>
      <c r="Q11" s="27">
        <v>140.65</v>
      </c>
      <c r="R11" s="27">
        <v>335.95</v>
      </c>
      <c r="S11" s="27">
        <v>266.17</v>
      </c>
      <c r="T11" s="27">
        <v>389.48</v>
      </c>
      <c r="U11" s="27">
        <v>14245.02</v>
      </c>
      <c r="V11" s="27">
        <v>3014.42</v>
      </c>
      <c r="W11" s="27">
        <v>435.87</v>
      </c>
      <c r="X11" s="27">
        <v>989.08</v>
      </c>
      <c r="Y11" s="27">
        <v>817.02</v>
      </c>
      <c r="Z11" s="27">
        <v>772.44</v>
      </c>
      <c r="AA11" s="27">
        <v>1028.79</v>
      </c>
      <c r="AB11" s="27">
        <v>181.94</v>
      </c>
      <c r="AC11" s="27">
        <v>290.88</v>
      </c>
      <c r="AD11" s="27">
        <v>242.31</v>
      </c>
      <c r="AE11" s="27">
        <v>313.65</v>
      </c>
      <c r="AF11" s="27">
        <v>4043.21</v>
      </c>
      <c r="AG11" s="27">
        <f>IFERROR(__xludf.DUMMYFUNCTION("K11 * IFERROR(INDEX(SPLIT(I11, ""/""), 1) / INDEX(SPLIT(I11, ""/""), 2), 1) * IFERROR(INDEX(SPLIT(J11, ""/""), 1) / INDEX(SPLIT(J11, ""/""), 2), 1)"),524510.0)</f>
        <v>524510</v>
      </c>
      <c r="AH11" s="27"/>
      <c r="AI11" s="27"/>
      <c r="AJ11" s="27"/>
    </row>
    <row r="12" ht="25.5" customHeight="1">
      <c r="A12" s="23">
        <v>9.0</v>
      </c>
      <c r="B12" s="24">
        <v>46204.0</v>
      </c>
      <c r="C12" s="26" t="s">
        <v>2</v>
      </c>
      <c r="D12" s="26" t="s">
        <v>138</v>
      </c>
      <c r="E12" s="23" t="s">
        <v>139</v>
      </c>
      <c r="F12" s="23" t="s">
        <v>140</v>
      </c>
      <c r="G12" s="26"/>
      <c r="H12" s="26" t="s">
        <v>70</v>
      </c>
      <c r="I12" s="23" t="s">
        <v>141</v>
      </c>
      <c r="J12" s="23" t="s">
        <v>74</v>
      </c>
      <c r="K12" s="27">
        <v>8633.76</v>
      </c>
      <c r="L12" s="27">
        <v>1804.97</v>
      </c>
      <c r="M12" s="27">
        <v>3184.09</v>
      </c>
      <c r="N12" s="27">
        <v>2717.51</v>
      </c>
      <c r="O12" s="27">
        <v>927.18</v>
      </c>
      <c r="P12" s="27">
        <v>3810.33</v>
      </c>
      <c r="Q12" s="27">
        <v>777.39</v>
      </c>
      <c r="R12" s="27">
        <v>1345.61</v>
      </c>
      <c r="S12" s="27">
        <v>1113.56</v>
      </c>
      <c r="T12" s="27">
        <v>573.76</v>
      </c>
      <c r="U12" s="27">
        <v>12444.09</v>
      </c>
      <c r="V12" s="27">
        <v>1923.64</v>
      </c>
      <c r="W12" s="27">
        <v>296.05</v>
      </c>
      <c r="X12" s="27">
        <v>779.78</v>
      </c>
      <c r="Y12" s="27">
        <v>634.37</v>
      </c>
      <c r="Z12" s="27">
        <v>213.42</v>
      </c>
      <c r="AA12" s="27">
        <v>458.96</v>
      </c>
      <c r="AB12" s="27">
        <v>97.99</v>
      </c>
      <c r="AC12" s="27">
        <v>151.18</v>
      </c>
      <c r="AD12" s="27">
        <v>204.21</v>
      </c>
      <c r="AE12" s="27">
        <v>5.56</v>
      </c>
      <c r="AF12" s="27">
        <v>2382.6</v>
      </c>
      <c r="AG12" s="27"/>
      <c r="AH12" s="27"/>
      <c r="AI12" s="27"/>
      <c r="AJ12" s="27"/>
    </row>
    <row r="13" ht="25.5" customHeight="1">
      <c r="A13" s="23">
        <v>10.0</v>
      </c>
      <c r="B13" s="24">
        <v>46204.0</v>
      </c>
      <c r="C13" s="26" t="s">
        <v>2</v>
      </c>
      <c r="D13" s="26" t="s">
        <v>149</v>
      </c>
      <c r="E13" s="23" t="s">
        <v>150</v>
      </c>
      <c r="F13" s="23" t="s">
        <v>152</v>
      </c>
      <c r="G13" s="26"/>
      <c r="H13" s="26" t="s">
        <v>70</v>
      </c>
      <c r="I13" s="23" t="s">
        <v>141</v>
      </c>
      <c r="J13" s="23" t="s">
        <v>74</v>
      </c>
      <c r="K13" s="27">
        <v>25184.1</v>
      </c>
      <c r="L13" s="27">
        <v>5854.05</v>
      </c>
      <c r="M13" s="27">
        <v>8885.26</v>
      </c>
      <c r="N13" s="27">
        <v>7123.23</v>
      </c>
      <c r="O13" s="27">
        <v>3321.54</v>
      </c>
      <c r="P13" s="27">
        <v>0.14</v>
      </c>
      <c r="Q13" s="27">
        <v>0.0</v>
      </c>
      <c r="R13" s="27">
        <v>0.0</v>
      </c>
      <c r="S13" s="27">
        <v>0.14</v>
      </c>
      <c r="T13" s="27">
        <v>0.0</v>
      </c>
      <c r="U13" s="27">
        <v>25184.24</v>
      </c>
      <c r="V13" s="27">
        <v>2656.03</v>
      </c>
      <c r="W13" s="27">
        <v>481.65</v>
      </c>
      <c r="X13" s="27">
        <v>954.32</v>
      </c>
      <c r="Y13" s="27">
        <v>816.92</v>
      </c>
      <c r="Z13" s="27">
        <v>403.12</v>
      </c>
      <c r="AA13" s="27">
        <v>21.25</v>
      </c>
      <c r="AB13" s="27">
        <v>8.48</v>
      </c>
      <c r="AC13" s="27">
        <v>6.14</v>
      </c>
      <c r="AD13" s="27">
        <v>3.08</v>
      </c>
      <c r="AE13" s="27">
        <v>3.53</v>
      </c>
      <c r="AF13" s="27">
        <v>2677.28</v>
      </c>
      <c r="AG13" s="27"/>
      <c r="AH13" s="27"/>
      <c r="AI13" s="27"/>
      <c r="AJ13" s="27"/>
    </row>
    <row r="14" ht="25.5" customHeight="1">
      <c r="A14" s="23">
        <v>11.0</v>
      </c>
      <c r="B14" s="24">
        <v>46204.0</v>
      </c>
      <c r="C14" s="26" t="s">
        <v>2</v>
      </c>
      <c r="D14" s="26" t="s">
        <v>145</v>
      </c>
      <c r="E14" s="23" t="s">
        <v>147</v>
      </c>
      <c r="F14" s="23" t="s">
        <v>161</v>
      </c>
      <c r="G14" s="26"/>
      <c r="H14" s="26" t="s">
        <v>70</v>
      </c>
      <c r="I14" s="23" t="s">
        <v>107</v>
      </c>
      <c r="J14" s="23" t="s">
        <v>74</v>
      </c>
      <c r="K14" s="27">
        <v>22962.96</v>
      </c>
      <c r="L14" s="27">
        <v>5566.12</v>
      </c>
      <c r="M14" s="27">
        <v>7655.48</v>
      </c>
      <c r="N14" s="27">
        <v>6354.94</v>
      </c>
      <c r="O14" s="27">
        <v>3386.4</v>
      </c>
      <c r="P14" s="27">
        <v>0.15</v>
      </c>
      <c r="Q14" s="27">
        <v>0.05</v>
      </c>
      <c r="R14" s="27">
        <v>0.05</v>
      </c>
      <c r="S14" s="27">
        <v>0.03</v>
      </c>
      <c r="T14" s="27">
        <v>0.0</v>
      </c>
      <c r="U14" s="27">
        <v>22963.11</v>
      </c>
      <c r="V14" s="27">
        <v>2006.66</v>
      </c>
      <c r="W14" s="27">
        <v>382.3</v>
      </c>
      <c r="X14" s="27">
        <v>623.62</v>
      </c>
      <c r="Y14" s="27">
        <v>513.04</v>
      </c>
      <c r="Z14" s="27">
        <v>487.69</v>
      </c>
      <c r="AA14" s="27">
        <v>56.24</v>
      </c>
      <c r="AB14" s="27">
        <v>11.54</v>
      </c>
      <c r="AC14" s="27">
        <v>21.3</v>
      </c>
      <c r="AD14" s="27">
        <v>12.64</v>
      </c>
      <c r="AE14" s="27">
        <v>10.75</v>
      </c>
      <c r="AF14" s="27">
        <v>2062.9</v>
      </c>
      <c r="AG14" s="27"/>
      <c r="AH14" s="27"/>
      <c r="AI14" s="27"/>
      <c r="AJ14" s="27"/>
    </row>
    <row r="15" ht="25.5" customHeight="1">
      <c r="A15" s="23">
        <v>12.0</v>
      </c>
      <c r="B15" s="24">
        <v>46204.0</v>
      </c>
      <c r="C15" s="26" t="s">
        <v>2</v>
      </c>
      <c r="D15" s="26" t="s">
        <v>165</v>
      </c>
      <c r="E15" s="23" t="s">
        <v>166</v>
      </c>
      <c r="F15" s="23" t="s">
        <v>167</v>
      </c>
      <c r="G15" s="26"/>
      <c r="H15" s="26" t="s">
        <v>70</v>
      </c>
      <c r="I15" s="23" t="s">
        <v>81</v>
      </c>
      <c r="J15" s="23" t="s">
        <v>74</v>
      </c>
      <c r="K15" s="27">
        <v>2991.04</v>
      </c>
      <c r="L15" s="27">
        <v>935.42</v>
      </c>
      <c r="M15" s="27">
        <v>1143.43</v>
      </c>
      <c r="N15" s="27">
        <v>912.17</v>
      </c>
      <c r="O15" s="27">
        <v>0.01</v>
      </c>
      <c r="P15" s="27">
        <v>4429.58</v>
      </c>
      <c r="Q15" s="27">
        <v>588.87</v>
      </c>
      <c r="R15" s="27">
        <v>1302.34</v>
      </c>
      <c r="S15" s="27">
        <v>1019.18</v>
      </c>
      <c r="T15" s="27">
        <v>1519.18</v>
      </c>
      <c r="U15" s="27">
        <v>7420.62</v>
      </c>
      <c r="V15" s="27">
        <v>6700.53</v>
      </c>
      <c r="W15" s="27">
        <v>881.7</v>
      </c>
      <c r="X15" s="27">
        <v>1950.5</v>
      </c>
      <c r="Y15" s="27">
        <v>1589.54</v>
      </c>
      <c r="Z15" s="27">
        <v>2278.78</v>
      </c>
      <c r="AA15" s="27">
        <v>17.24</v>
      </c>
      <c r="AB15" s="27">
        <v>11.09</v>
      </c>
      <c r="AC15" s="27">
        <v>5.02</v>
      </c>
      <c r="AD15" s="27">
        <v>1.13</v>
      </c>
      <c r="AE15" s="27">
        <v>0.0</v>
      </c>
      <c r="AF15" s="27">
        <v>6717.77</v>
      </c>
      <c r="AG15" s="27"/>
      <c r="AH15" s="27"/>
      <c r="AI15" s="27"/>
      <c r="AJ15" s="27"/>
    </row>
    <row r="16" ht="25.5" customHeight="1">
      <c r="A16" s="23">
        <v>13.0</v>
      </c>
      <c r="B16" s="24">
        <v>46204.0</v>
      </c>
      <c r="C16" s="26" t="s">
        <v>2</v>
      </c>
      <c r="D16" s="26" t="s">
        <v>172</v>
      </c>
      <c r="E16" s="23" t="s">
        <v>173</v>
      </c>
      <c r="F16" s="23" t="s">
        <v>174</v>
      </c>
      <c r="G16" s="26"/>
      <c r="H16" s="26" t="s">
        <v>70</v>
      </c>
      <c r="I16" s="23" t="s">
        <v>107</v>
      </c>
      <c r="J16" s="23" t="s">
        <v>74</v>
      </c>
      <c r="K16" s="27">
        <v>4386.87</v>
      </c>
      <c r="L16" s="27">
        <v>1064.38</v>
      </c>
      <c r="M16" s="27">
        <v>1487.13</v>
      </c>
      <c r="N16" s="27">
        <v>1315.87</v>
      </c>
      <c r="O16" s="27">
        <v>519.48</v>
      </c>
      <c r="P16" s="27">
        <v>8344.74</v>
      </c>
      <c r="Q16" s="27">
        <v>1591.71</v>
      </c>
      <c r="R16" s="27">
        <v>3030.78</v>
      </c>
      <c r="S16" s="27">
        <v>2486.37</v>
      </c>
      <c r="T16" s="27">
        <v>1235.86</v>
      </c>
      <c r="U16" s="27">
        <v>12731.61</v>
      </c>
      <c r="V16" s="27">
        <v>9123.34</v>
      </c>
      <c r="W16" s="27">
        <v>1779.33</v>
      </c>
      <c r="X16" s="27">
        <v>3306.9</v>
      </c>
      <c r="Y16" s="27">
        <v>2663.35</v>
      </c>
      <c r="Z16" s="27">
        <v>1373.75</v>
      </c>
      <c r="AA16" s="27">
        <v>4283.7</v>
      </c>
      <c r="AB16" s="27">
        <v>931.58</v>
      </c>
      <c r="AC16" s="27">
        <v>1437.18</v>
      </c>
      <c r="AD16" s="27">
        <v>1314.55</v>
      </c>
      <c r="AE16" s="27">
        <v>600.37</v>
      </c>
      <c r="AF16" s="27">
        <v>13407.04</v>
      </c>
      <c r="AG16" s="27"/>
      <c r="AH16" s="27"/>
      <c r="AI16" s="27"/>
      <c r="AJ16" s="27"/>
    </row>
    <row r="17" ht="25.5" customHeight="1">
      <c r="A17" s="23">
        <v>14.0</v>
      </c>
      <c r="B17" s="24">
        <v>46204.0</v>
      </c>
      <c r="C17" s="26" t="s">
        <v>2</v>
      </c>
      <c r="D17" s="26" t="s">
        <v>178</v>
      </c>
      <c r="E17" s="23" t="s">
        <v>179</v>
      </c>
      <c r="F17" s="23" t="s">
        <v>181</v>
      </c>
      <c r="G17" s="26"/>
      <c r="H17" s="26" t="s">
        <v>70</v>
      </c>
      <c r="I17" s="23" t="s">
        <v>99</v>
      </c>
      <c r="J17" s="23" t="s">
        <v>74</v>
      </c>
      <c r="K17" s="27">
        <v>4433.18</v>
      </c>
      <c r="L17" s="27">
        <v>1055.14</v>
      </c>
      <c r="M17" s="27">
        <v>1696.4</v>
      </c>
      <c r="N17" s="27">
        <v>1303.53</v>
      </c>
      <c r="O17" s="27">
        <v>378.1</v>
      </c>
      <c r="P17" s="27">
        <v>1861.47</v>
      </c>
      <c r="Q17" s="27">
        <v>415.56</v>
      </c>
      <c r="R17" s="27">
        <v>625.94</v>
      </c>
      <c r="S17" s="27">
        <v>531.55</v>
      </c>
      <c r="T17" s="27">
        <v>288.4</v>
      </c>
      <c r="U17" s="27">
        <v>6294.65</v>
      </c>
      <c r="V17" s="27">
        <v>3863.52</v>
      </c>
      <c r="W17" s="27">
        <v>928.8</v>
      </c>
      <c r="X17" s="27">
        <v>1379.25</v>
      </c>
      <c r="Y17" s="27">
        <v>1136.76</v>
      </c>
      <c r="Z17" s="27">
        <v>418.7</v>
      </c>
      <c r="AA17" s="27">
        <v>2898.58</v>
      </c>
      <c r="AB17" s="27">
        <v>693.73</v>
      </c>
      <c r="AC17" s="27">
        <v>1111.69</v>
      </c>
      <c r="AD17" s="27">
        <v>833.75</v>
      </c>
      <c r="AE17" s="27">
        <v>259.39</v>
      </c>
      <c r="AF17" s="27">
        <v>6762.1</v>
      </c>
      <c r="AG17" s="27"/>
      <c r="AH17" s="27"/>
      <c r="AI17" s="27"/>
      <c r="AJ17" s="27"/>
    </row>
    <row r="18" ht="25.5" customHeight="1">
      <c r="A18" s="23">
        <v>15.0</v>
      </c>
      <c r="B18" s="24">
        <v>46204.0</v>
      </c>
      <c r="C18" s="26" t="s">
        <v>2</v>
      </c>
      <c r="D18" s="26" t="s">
        <v>184</v>
      </c>
      <c r="E18" s="23" t="s">
        <v>185</v>
      </c>
      <c r="F18" s="23" t="s">
        <v>186</v>
      </c>
      <c r="G18" s="26"/>
      <c r="H18" s="26" t="s">
        <v>70</v>
      </c>
      <c r="I18" s="23" t="s">
        <v>81</v>
      </c>
      <c r="J18" s="23" t="s">
        <v>74</v>
      </c>
      <c r="K18" s="27">
        <v>1181.67</v>
      </c>
      <c r="L18" s="27">
        <v>333.29</v>
      </c>
      <c r="M18" s="27">
        <v>463.42</v>
      </c>
      <c r="N18" s="27">
        <v>384.95</v>
      </c>
      <c r="O18" s="27">
        <v>0.0</v>
      </c>
      <c r="P18" s="27">
        <v>0.0</v>
      </c>
      <c r="Q18" s="27">
        <v>0.0</v>
      </c>
      <c r="R18" s="27">
        <v>0.0</v>
      </c>
      <c r="S18" s="27">
        <v>0.0</v>
      </c>
      <c r="T18" s="27">
        <v>0.0</v>
      </c>
      <c r="U18" s="27">
        <v>1181.67</v>
      </c>
      <c r="V18" s="27">
        <v>147.51</v>
      </c>
      <c r="W18" s="27">
        <v>33.52</v>
      </c>
      <c r="X18" s="27">
        <v>50.32</v>
      </c>
      <c r="Y18" s="27">
        <v>63.65</v>
      </c>
      <c r="Z18" s="27">
        <v>0.0</v>
      </c>
      <c r="AA18" s="27">
        <v>0.32</v>
      </c>
      <c r="AB18" s="27">
        <v>0.21</v>
      </c>
      <c r="AC18" s="27">
        <v>0.09</v>
      </c>
      <c r="AD18" s="27">
        <v>0.01</v>
      </c>
      <c r="AE18" s="27">
        <v>0.0</v>
      </c>
      <c r="AF18" s="27">
        <v>147.83</v>
      </c>
      <c r="AG18" s="27"/>
      <c r="AH18" s="27"/>
      <c r="AI18" s="27"/>
      <c r="AJ18" s="27"/>
    </row>
    <row r="19" ht="25.5" customHeight="1">
      <c r="A19" s="23">
        <v>16.0</v>
      </c>
      <c r="B19" s="24">
        <v>46204.0</v>
      </c>
      <c r="C19" s="26" t="s">
        <v>2</v>
      </c>
      <c r="D19" s="26" t="s">
        <v>188</v>
      </c>
      <c r="E19" s="23" t="s">
        <v>189</v>
      </c>
      <c r="F19" s="23" t="s">
        <v>190</v>
      </c>
      <c r="G19" s="26"/>
      <c r="H19" s="26" t="s">
        <v>70</v>
      </c>
      <c r="I19" s="23" t="s">
        <v>107</v>
      </c>
      <c r="J19" s="23" t="s">
        <v>74</v>
      </c>
      <c r="K19" s="27">
        <v>31036.0</v>
      </c>
      <c r="L19" s="27">
        <v>7323.29</v>
      </c>
      <c r="M19" s="27">
        <v>10810.52</v>
      </c>
      <c r="N19" s="27">
        <v>8965.33</v>
      </c>
      <c r="O19" s="27">
        <v>3936.84</v>
      </c>
      <c r="P19" s="27">
        <v>0.01</v>
      </c>
      <c r="Q19" s="27">
        <v>0.0</v>
      </c>
      <c r="R19" s="27">
        <v>0.0</v>
      </c>
      <c r="S19" s="27">
        <v>0.01</v>
      </c>
      <c r="T19" s="27">
        <v>0.0</v>
      </c>
      <c r="U19" s="27">
        <v>31036.01</v>
      </c>
      <c r="V19" s="27">
        <v>2167.25</v>
      </c>
      <c r="W19" s="27">
        <v>415.27</v>
      </c>
      <c r="X19" s="27">
        <v>768.73</v>
      </c>
      <c r="Y19" s="27">
        <v>739.93</v>
      </c>
      <c r="Z19" s="27">
        <v>243.31</v>
      </c>
      <c r="AA19" s="27">
        <v>70.41</v>
      </c>
      <c r="AB19" s="27">
        <v>51.05</v>
      </c>
      <c r="AC19" s="27">
        <v>13.88</v>
      </c>
      <c r="AD19" s="27">
        <v>2.81</v>
      </c>
      <c r="AE19" s="27">
        <v>2.65</v>
      </c>
      <c r="AF19" s="27">
        <v>2237.66</v>
      </c>
      <c r="AG19" s="27"/>
      <c r="AH19" s="27"/>
      <c r="AI19" s="27"/>
      <c r="AJ19" s="27"/>
    </row>
    <row r="20" ht="25.5" customHeight="1">
      <c r="A20" s="23">
        <v>17.0</v>
      </c>
      <c r="B20" s="24">
        <v>46204.0</v>
      </c>
      <c r="C20" s="26" t="s">
        <v>2</v>
      </c>
      <c r="D20" s="26" t="s">
        <v>195</v>
      </c>
      <c r="E20" s="23" t="s">
        <v>196</v>
      </c>
      <c r="F20" s="23" t="s">
        <v>197</v>
      </c>
      <c r="G20" s="26"/>
      <c r="H20" s="26" t="s">
        <v>70</v>
      </c>
      <c r="I20" s="23" t="s">
        <v>107</v>
      </c>
      <c r="J20" s="23" t="s">
        <v>74</v>
      </c>
      <c r="K20" s="27">
        <v>2566.64</v>
      </c>
      <c r="L20" s="27">
        <v>343.44</v>
      </c>
      <c r="M20" s="27">
        <v>744.35</v>
      </c>
      <c r="N20" s="27">
        <v>607.98</v>
      </c>
      <c r="O20" s="27">
        <v>870.85</v>
      </c>
      <c r="P20" s="27">
        <v>4705.18</v>
      </c>
      <c r="Q20" s="27">
        <v>1118.6</v>
      </c>
      <c r="R20" s="27">
        <v>1604.38</v>
      </c>
      <c r="S20" s="27">
        <v>1321.68</v>
      </c>
      <c r="T20" s="27">
        <v>660.5</v>
      </c>
      <c r="U20" s="27">
        <v>7271.82</v>
      </c>
      <c r="V20" s="27">
        <v>2809.37</v>
      </c>
      <c r="W20" s="27">
        <v>406.03</v>
      </c>
      <c r="X20" s="27">
        <v>745.19</v>
      </c>
      <c r="Y20" s="27">
        <v>692.73</v>
      </c>
      <c r="Z20" s="27">
        <v>965.4</v>
      </c>
      <c r="AA20" s="27">
        <v>684.07</v>
      </c>
      <c r="AB20" s="27">
        <v>98.66</v>
      </c>
      <c r="AC20" s="27">
        <v>223.79</v>
      </c>
      <c r="AD20" s="27">
        <v>193.2</v>
      </c>
      <c r="AE20" s="27">
        <v>168.41</v>
      </c>
      <c r="AF20" s="27">
        <v>3493.44</v>
      </c>
      <c r="AG20" s="27"/>
      <c r="AH20" s="27"/>
      <c r="AI20" s="27"/>
      <c r="AJ20" s="27"/>
    </row>
    <row r="21" ht="25.5" customHeight="1">
      <c r="A21" s="23">
        <v>18.0</v>
      </c>
      <c r="B21" s="24">
        <v>46204.0</v>
      </c>
      <c r="C21" s="26" t="s">
        <v>2</v>
      </c>
      <c r="D21" s="26" t="s">
        <v>102</v>
      </c>
      <c r="E21" s="23" t="s">
        <v>105</v>
      </c>
      <c r="F21" s="23" t="s">
        <v>200</v>
      </c>
      <c r="G21" s="26"/>
      <c r="H21" s="26" t="s">
        <v>70</v>
      </c>
      <c r="I21" s="23" t="s">
        <v>72</v>
      </c>
      <c r="J21" s="23" t="s">
        <v>74</v>
      </c>
      <c r="K21" s="27">
        <v>9625.65</v>
      </c>
      <c r="L21" s="27">
        <v>2386.49</v>
      </c>
      <c r="M21" s="27">
        <v>3317.33</v>
      </c>
      <c r="N21" s="27">
        <v>2791.06</v>
      </c>
      <c r="O21" s="27">
        <v>1130.76</v>
      </c>
      <c r="P21" s="27">
        <v>5778.46</v>
      </c>
      <c r="Q21" s="27">
        <v>951.89</v>
      </c>
      <c r="R21" s="27">
        <v>1882.45</v>
      </c>
      <c r="S21" s="27">
        <v>1348.01</v>
      </c>
      <c r="T21" s="27">
        <v>1596.1</v>
      </c>
      <c r="U21" s="27">
        <v>15404.11</v>
      </c>
      <c r="V21" s="27">
        <v>1683.3</v>
      </c>
      <c r="W21" s="27">
        <v>290.28</v>
      </c>
      <c r="X21" s="27">
        <v>722.81</v>
      </c>
      <c r="Y21" s="27">
        <v>415.27</v>
      </c>
      <c r="Z21" s="27">
        <v>254.93</v>
      </c>
      <c r="AA21" s="27">
        <v>8007.45</v>
      </c>
      <c r="AB21" s="27">
        <v>1326.99</v>
      </c>
      <c r="AC21" s="27">
        <v>2403.64</v>
      </c>
      <c r="AD21" s="27">
        <v>1908.78</v>
      </c>
      <c r="AE21" s="27">
        <v>2368.03</v>
      </c>
      <c r="AF21" s="27">
        <v>9690.75</v>
      </c>
      <c r="AG21" s="27"/>
      <c r="AH21" s="27"/>
      <c r="AI21" s="27"/>
      <c r="AJ21" s="27"/>
    </row>
    <row r="22" ht="25.5" customHeight="1">
      <c r="A22" s="23">
        <v>19.0</v>
      </c>
      <c r="B22" s="24">
        <v>46204.0</v>
      </c>
      <c r="C22" s="26" t="s">
        <v>2</v>
      </c>
      <c r="D22" s="26" t="s">
        <v>204</v>
      </c>
      <c r="E22" s="23" t="s">
        <v>205</v>
      </c>
      <c r="F22" s="23" t="s">
        <v>206</v>
      </c>
      <c r="G22" s="26"/>
      <c r="H22" s="26" t="s">
        <v>70</v>
      </c>
      <c r="I22" s="23" t="s">
        <v>107</v>
      </c>
      <c r="J22" s="23" t="s">
        <v>74</v>
      </c>
      <c r="K22" s="27">
        <v>3033.83</v>
      </c>
      <c r="L22" s="27">
        <v>669.24</v>
      </c>
      <c r="M22" s="27">
        <v>1152.42</v>
      </c>
      <c r="N22" s="27">
        <v>719.21</v>
      </c>
      <c r="O22" s="27">
        <v>492.94</v>
      </c>
      <c r="P22" s="27">
        <v>1487.75</v>
      </c>
      <c r="Q22" s="27">
        <v>481.82</v>
      </c>
      <c r="R22" s="27">
        <v>582.2</v>
      </c>
      <c r="S22" s="27">
        <v>423.72</v>
      </c>
      <c r="T22" s="27">
        <v>0.0</v>
      </c>
      <c r="U22" s="27">
        <v>4521.58</v>
      </c>
      <c r="V22" s="27">
        <v>361.3</v>
      </c>
      <c r="W22" s="27">
        <v>90.01</v>
      </c>
      <c r="X22" s="27">
        <v>153.5</v>
      </c>
      <c r="Y22" s="27">
        <v>99.08</v>
      </c>
      <c r="Z22" s="27">
        <v>18.69</v>
      </c>
      <c r="AA22" s="27">
        <v>2387.1</v>
      </c>
      <c r="AB22" s="27">
        <v>815.22</v>
      </c>
      <c r="AC22" s="27">
        <v>925.43</v>
      </c>
      <c r="AD22" s="27">
        <v>640.3</v>
      </c>
      <c r="AE22" s="27">
        <v>6.14</v>
      </c>
      <c r="AF22" s="27">
        <v>2748.4</v>
      </c>
      <c r="AG22" s="27"/>
      <c r="AH22" s="27"/>
      <c r="AI22" s="27"/>
      <c r="AJ22" s="27"/>
    </row>
    <row r="23" ht="25.5" customHeight="1">
      <c r="A23" s="23">
        <v>20.0</v>
      </c>
      <c r="B23" s="24">
        <v>46204.0</v>
      </c>
      <c r="C23" s="26" t="s">
        <v>2</v>
      </c>
      <c r="D23" s="26" t="s">
        <v>211</v>
      </c>
      <c r="E23" s="23" t="s">
        <v>212</v>
      </c>
      <c r="F23" s="23" t="s">
        <v>213</v>
      </c>
      <c r="G23" s="26"/>
      <c r="H23" s="26" t="s">
        <v>70</v>
      </c>
      <c r="I23" s="23" t="s">
        <v>99</v>
      </c>
      <c r="J23" s="23" t="s">
        <v>74</v>
      </c>
      <c r="K23" s="27">
        <v>2390.47</v>
      </c>
      <c r="L23" s="27">
        <v>484.67</v>
      </c>
      <c r="M23" s="27">
        <v>986.78</v>
      </c>
      <c r="N23" s="27">
        <v>822.17</v>
      </c>
      <c r="O23" s="27">
        <v>96.83</v>
      </c>
      <c r="P23" s="27">
        <v>2522.17</v>
      </c>
      <c r="Q23" s="27">
        <v>481.9</v>
      </c>
      <c r="R23" s="27">
        <v>1081.55</v>
      </c>
      <c r="S23" s="27">
        <v>821.42</v>
      </c>
      <c r="T23" s="27">
        <v>137.29</v>
      </c>
      <c r="U23" s="27">
        <v>4912.64</v>
      </c>
      <c r="V23" s="27">
        <v>3038.88</v>
      </c>
      <c r="W23" s="27">
        <v>719.17</v>
      </c>
      <c r="X23" s="27">
        <v>1175.64</v>
      </c>
      <c r="Y23" s="27">
        <v>921.96</v>
      </c>
      <c r="Z23" s="27">
        <v>222.09</v>
      </c>
      <c r="AA23" s="27">
        <v>1783.38</v>
      </c>
      <c r="AB23" s="27">
        <v>474.08</v>
      </c>
      <c r="AC23" s="27">
        <v>682.34</v>
      </c>
      <c r="AD23" s="27">
        <v>523.52</v>
      </c>
      <c r="AE23" s="27">
        <v>103.43</v>
      </c>
      <c r="AF23" s="27">
        <v>4822.26</v>
      </c>
      <c r="AG23" s="27"/>
      <c r="AH23" s="27"/>
      <c r="AI23" s="27"/>
      <c r="AJ23" s="27"/>
    </row>
    <row r="24" ht="25.5" customHeight="1">
      <c r="A24" s="23">
        <v>21.0</v>
      </c>
      <c r="B24" s="24">
        <v>46204.0</v>
      </c>
      <c r="C24" s="26" t="s">
        <v>2</v>
      </c>
      <c r="D24" s="26" t="s">
        <v>218</v>
      </c>
      <c r="E24" s="23" t="s">
        <v>219</v>
      </c>
      <c r="F24" s="23" t="s">
        <v>220</v>
      </c>
      <c r="G24" s="26"/>
      <c r="H24" s="26" t="s">
        <v>70</v>
      </c>
      <c r="I24" s="23" t="s">
        <v>72</v>
      </c>
      <c r="J24" s="23" t="s">
        <v>74</v>
      </c>
      <c r="K24" s="27">
        <v>3975.42</v>
      </c>
      <c r="L24" s="27">
        <v>1169.32</v>
      </c>
      <c r="M24" s="27">
        <v>1379.94</v>
      </c>
      <c r="N24" s="27">
        <v>1054.78</v>
      </c>
      <c r="O24" s="27">
        <v>371.36</v>
      </c>
      <c r="P24" s="27">
        <v>5260.6</v>
      </c>
      <c r="Q24" s="27">
        <v>688.02</v>
      </c>
      <c r="R24" s="27">
        <v>1446.1</v>
      </c>
      <c r="S24" s="27">
        <v>1297.73</v>
      </c>
      <c r="T24" s="27">
        <v>1828.74</v>
      </c>
      <c r="U24" s="27">
        <v>9236.02</v>
      </c>
      <c r="V24" s="27">
        <v>7920.43</v>
      </c>
      <c r="W24" s="27">
        <v>1111.7</v>
      </c>
      <c r="X24" s="27">
        <v>2199.82</v>
      </c>
      <c r="Y24" s="27">
        <v>2031.34</v>
      </c>
      <c r="Z24" s="27">
        <v>2577.56</v>
      </c>
      <c r="AA24" s="27">
        <v>1122.12</v>
      </c>
      <c r="AB24" s="27">
        <v>143.28</v>
      </c>
      <c r="AC24" s="27">
        <v>297.47</v>
      </c>
      <c r="AD24" s="27">
        <v>184.53</v>
      </c>
      <c r="AE24" s="27">
        <v>496.82</v>
      </c>
      <c r="AF24" s="27">
        <v>9042.55</v>
      </c>
      <c r="AG24" s="27"/>
      <c r="AH24" s="27"/>
      <c r="AI24" s="27"/>
      <c r="AJ24" s="27"/>
    </row>
    <row r="25" ht="25.5" customHeight="1">
      <c r="A25" s="23">
        <v>22.0</v>
      </c>
      <c r="B25" s="24">
        <v>46204.0</v>
      </c>
      <c r="C25" s="26" t="s">
        <v>2</v>
      </c>
      <c r="D25" s="26" t="s">
        <v>224</v>
      </c>
      <c r="E25" s="23" t="s">
        <v>225</v>
      </c>
      <c r="F25" s="23" t="s">
        <v>227</v>
      </c>
      <c r="G25" s="26"/>
      <c r="H25" s="26" t="s">
        <v>70</v>
      </c>
      <c r="I25" s="23" t="s">
        <v>107</v>
      </c>
      <c r="J25" s="23" t="s">
        <v>74</v>
      </c>
      <c r="K25" s="27">
        <v>15084.4</v>
      </c>
      <c r="L25" s="27">
        <v>3480.55</v>
      </c>
      <c r="M25" s="27">
        <v>5210.51</v>
      </c>
      <c r="N25" s="27">
        <v>4279.96</v>
      </c>
      <c r="O25" s="27">
        <v>2113.36</v>
      </c>
      <c r="P25" s="27">
        <v>0.0</v>
      </c>
      <c r="Q25" s="27">
        <v>0.0</v>
      </c>
      <c r="R25" s="27">
        <v>0.0</v>
      </c>
      <c r="S25" s="27">
        <v>0.0</v>
      </c>
      <c r="T25" s="27">
        <v>0.0</v>
      </c>
      <c r="U25" s="27">
        <v>15084.4</v>
      </c>
      <c r="V25" s="27">
        <v>1091.45</v>
      </c>
      <c r="W25" s="27">
        <v>226.24</v>
      </c>
      <c r="X25" s="27">
        <v>406.81</v>
      </c>
      <c r="Y25" s="27">
        <v>334.96</v>
      </c>
      <c r="Z25" s="27">
        <v>123.43</v>
      </c>
      <c r="AA25" s="27">
        <v>58.61</v>
      </c>
      <c r="AB25" s="27">
        <v>23.63</v>
      </c>
      <c r="AC25" s="27">
        <v>7.86</v>
      </c>
      <c r="AD25" s="27">
        <v>6.07</v>
      </c>
      <c r="AE25" s="27">
        <v>21.03</v>
      </c>
      <c r="AF25" s="27">
        <v>1150.06</v>
      </c>
      <c r="AG25" s="27"/>
      <c r="AH25" s="27"/>
      <c r="AI25" s="27"/>
      <c r="AJ25" s="27"/>
    </row>
    <row r="26" ht="25.5" customHeight="1">
      <c r="A26" s="23">
        <v>23.0</v>
      </c>
      <c r="B26" s="24">
        <v>46204.0</v>
      </c>
      <c r="C26" s="26" t="s">
        <v>2</v>
      </c>
      <c r="D26" s="26" t="s">
        <v>124</v>
      </c>
      <c r="E26" s="23" t="s">
        <v>230</v>
      </c>
      <c r="F26" s="23" t="s">
        <v>231</v>
      </c>
      <c r="G26" s="26"/>
      <c r="H26" s="26" t="s">
        <v>70</v>
      </c>
      <c r="I26" s="23" t="s">
        <v>107</v>
      </c>
      <c r="J26" s="23" t="s">
        <v>74</v>
      </c>
      <c r="K26" s="27">
        <v>8328.19</v>
      </c>
      <c r="L26" s="27">
        <v>2142.29</v>
      </c>
      <c r="M26" s="27">
        <v>3115.56</v>
      </c>
      <c r="N26" s="27">
        <v>2553.58</v>
      </c>
      <c r="O26" s="27">
        <v>516.75</v>
      </c>
      <c r="P26" s="27">
        <v>4575.86</v>
      </c>
      <c r="Q26" s="27">
        <v>1201.78</v>
      </c>
      <c r="R26" s="27">
        <v>1546.76</v>
      </c>
      <c r="S26" s="27">
        <v>1228.1</v>
      </c>
      <c r="T26" s="27">
        <v>599.2</v>
      </c>
      <c r="U26" s="27">
        <v>12904.05</v>
      </c>
      <c r="V26" s="27">
        <v>5126.59</v>
      </c>
      <c r="W26" s="27">
        <v>1395.68</v>
      </c>
      <c r="X26" s="27">
        <v>1912.79</v>
      </c>
      <c r="Y26" s="27">
        <v>1584.32</v>
      </c>
      <c r="Z26" s="27">
        <v>233.79</v>
      </c>
      <c r="AA26" s="27">
        <v>3949.64</v>
      </c>
      <c r="AB26" s="27">
        <v>975.83</v>
      </c>
      <c r="AC26" s="27">
        <v>1301.47</v>
      </c>
      <c r="AD26" s="27">
        <v>1010.17</v>
      </c>
      <c r="AE26" s="27">
        <v>662.16</v>
      </c>
      <c r="AF26" s="27">
        <v>9076.23</v>
      </c>
      <c r="AG26" s="27"/>
      <c r="AH26" s="27"/>
      <c r="AI26" s="27"/>
      <c r="AJ26" s="27"/>
    </row>
    <row r="27" ht="25.5" customHeight="1">
      <c r="A27" s="23">
        <v>24.0</v>
      </c>
      <c r="B27" s="24">
        <v>46204.0</v>
      </c>
      <c r="C27" s="26" t="s">
        <v>2</v>
      </c>
      <c r="D27" s="26" t="s">
        <v>136</v>
      </c>
      <c r="E27" s="23" t="s">
        <v>236</v>
      </c>
      <c r="F27" s="23" t="s">
        <v>237</v>
      </c>
      <c r="G27" s="26"/>
      <c r="H27" s="26" t="s">
        <v>70</v>
      </c>
      <c r="I27" s="23" t="s">
        <v>99</v>
      </c>
      <c r="J27" s="23" t="s">
        <v>74</v>
      </c>
      <c r="K27" s="27">
        <v>29577.09</v>
      </c>
      <c r="L27" s="27">
        <v>7234.86</v>
      </c>
      <c r="M27" s="27">
        <v>10423.1</v>
      </c>
      <c r="N27" s="27">
        <v>8148.21</v>
      </c>
      <c r="O27" s="27">
        <v>3770.9</v>
      </c>
      <c r="P27" s="27">
        <v>0.0</v>
      </c>
      <c r="Q27" s="27">
        <v>0.0</v>
      </c>
      <c r="R27" s="27">
        <v>0.0</v>
      </c>
      <c r="S27" s="27">
        <v>0.0</v>
      </c>
      <c r="T27" s="27">
        <v>0.0</v>
      </c>
      <c r="U27" s="27">
        <v>29577.09</v>
      </c>
      <c r="V27" s="27">
        <v>1312.53</v>
      </c>
      <c r="W27" s="27">
        <v>286.06</v>
      </c>
      <c r="X27" s="27">
        <v>477.28</v>
      </c>
      <c r="Y27" s="27">
        <v>419.89</v>
      </c>
      <c r="Z27" s="27">
        <v>129.28</v>
      </c>
      <c r="AA27" s="27">
        <v>134.29</v>
      </c>
      <c r="AB27" s="27">
        <v>53.62</v>
      </c>
      <c r="AC27" s="27">
        <v>42.65</v>
      </c>
      <c r="AD27" s="27">
        <v>22.21</v>
      </c>
      <c r="AE27" s="27">
        <v>15.78</v>
      </c>
      <c r="AF27" s="27">
        <v>1446.82</v>
      </c>
      <c r="AG27" s="27"/>
      <c r="AH27" s="27"/>
      <c r="AI27" s="27"/>
      <c r="AJ27" s="27"/>
    </row>
    <row r="28" ht="25.5" customHeight="1">
      <c r="A28" s="23">
        <v>25.0</v>
      </c>
      <c r="B28" s="24">
        <v>46204.0</v>
      </c>
      <c r="C28" s="26" t="s">
        <v>2</v>
      </c>
      <c r="D28" s="26" t="s">
        <v>241</v>
      </c>
      <c r="E28" s="23" t="s">
        <v>242</v>
      </c>
      <c r="F28" s="23" t="s">
        <v>243</v>
      </c>
      <c r="G28" s="26"/>
      <c r="H28" s="26" t="s">
        <v>70</v>
      </c>
      <c r="I28" s="23" t="s">
        <v>72</v>
      </c>
      <c r="J28" s="23" t="s">
        <v>74</v>
      </c>
      <c r="K28" s="27">
        <v>17168.51</v>
      </c>
      <c r="L28" s="27">
        <v>4114.81</v>
      </c>
      <c r="M28" s="27">
        <v>5852.84</v>
      </c>
      <c r="N28" s="27">
        <v>4678.35</v>
      </c>
      <c r="O28" s="27">
        <v>2522.49</v>
      </c>
      <c r="P28" s="27">
        <v>17.14</v>
      </c>
      <c r="Q28" s="27">
        <v>0.0</v>
      </c>
      <c r="R28" s="27">
        <v>0.35</v>
      </c>
      <c r="S28" s="27">
        <v>16.78</v>
      </c>
      <c r="T28" s="27">
        <v>0.0</v>
      </c>
      <c r="U28" s="27">
        <v>17185.65</v>
      </c>
      <c r="V28" s="27">
        <v>1321.59</v>
      </c>
      <c r="W28" s="27">
        <v>284.1</v>
      </c>
      <c r="X28" s="27">
        <v>465.81</v>
      </c>
      <c r="Y28" s="27">
        <v>405.41</v>
      </c>
      <c r="Z28" s="27">
        <v>166.25</v>
      </c>
      <c r="AA28" s="27">
        <v>26.2</v>
      </c>
      <c r="AB28" s="27">
        <v>11.91</v>
      </c>
      <c r="AC28" s="27">
        <v>7.25</v>
      </c>
      <c r="AD28" s="27">
        <v>3.78</v>
      </c>
      <c r="AE28" s="27">
        <v>3.24</v>
      </c>
      <c r="AF28" s="27">
        <v>1347.79</v>
      </c>
      <c r="AG28" s="27"/>
      <c r="AH28" s="27"/>
      <c r="AI28" s="27"/>
      <c r="AJ28" s="27"/>
    </row>
    <row r="29" ht="25.5" customHeight="1">
      <c r="A29" s="23">
        <v>26.0</v>
      </c>
      <c r="B29" s="24">
        <v>46204.0</v>
      </c>
      <c r="C29" s="26" t="s">
        <v>2</v>
      </c>
      <c r="D29" s="26" t="s">
        <v>246</v>
      </c>
      <c r="E29" s="23" t="s">
        <v>247</v>
      </c>
      <c r="F29" s="23" t="s">
        <v>248</v>
      </c>
      <c r="G29" s="26"/>
      <c r="H29" s="26" t="s">
        <v>70</v>
      </c>
      <c r="I29" s="23" t="s">
        <v>81</v>
      </c>
      <c r="J29" s="23" t="s">
        <v>74</v>
      </c>
      <c r="K29" s="27">
        <v>7684.3</v>
      </c>
      <c r="L29" s="27">
        <v>1338.89</v>
      </c>
      <c r="M29" s="27">
        <v>2625.93</v>
      </c>
      <c r="N29" s="27">
        <v>2034.34</v>
      </c>
      <c r="O29" s="27">
        <v>1685.12</v>
      </c>
      <c r="P29" s="27">
        <v>0.81</v>
      </c>
      <c r="Q29" s="27">
        <v>0.09</v>
      </c>
      <c r="R29" s="27">
        <v>0.23</v>
      </c>
      <c r="S29" s="27">
        <v>0.17</v>
      </c>
      <c r="T29" s="27">
        <v>0.3</v>
      </c>
      <c r="U29" s="27">
        <v>7685.11</v>
      </c>
      <c r="V29" s="27">
        <v>415.02</v>
      </c>
      <c r="W29" s="27">
        <v>62.79</v>
      </c>
      <c r="X29" s="27">
        <v>151.16</v>
      </c>
      <c r="Y29" s="27">
        <v>95.99</v>
      </c>
      <c r="Z29" s="27">
        <v>105.06</v>
      </c>
      <c r="AA29" s="27">
        <v>596.23</v>
      </c>
      <c r="AB29" s="27">
        <v>91.85</v>
      </c>
      <c r="AC29" s="27">
        <v>168.7</v>
      </c>
      <c r="AD29" s="27">
        <v>148.25</v>
      </c>
      <c r="AE29" s="27">
        <v>187.41</v>
      </c>
      <c r="AF29" s="27">
        <v>1011.25</v>
      </c>
      <c r="AG29" s="27"/>
      <c r="AH29" s="27"/>
      <c r="AI29" s="27"/>
      <c r="AJ29" s="27"/>
    </row>
    <row r="30" ht="25.5" customHeight="1">
      <c r="A30" s="23">
        <v>27.0</v>
      </c>
      <c r="B30" s="24">
        <v>46204.0</v>
      </c>
      <c r="C30" s="26" t="s">
        <v>2</v>
      </c>
      <c r="D30" s="26" t="s">
        <v>85</v>
      </c>
      <c r="E30" s="23" t="s">
        <v>87</v>
      </c>
      <c r="F30" s="23" t="s">
        <v>250</v>
      </c>
      <c r="G30" s="26"/>
      <c r="H30" s="26" t="s">
        <v>70</v>
      </c>
      <c r="I30" s="23" t="s">
        <v>72</v>
      </c>
      <c r="J30" s="23" t="s">
        <v>74</v>
      </c>
      <c r="K30" s="27">
        <v>4524.3</v>
      </c>
      <c r="L30" s="27">
        <v>1217.21</v>
      </c>
      <c r="M30" s="27">
        <v>1502.42</v>
      </c>
      <c r="N30" s="27">
        <v>1166.49</v>
      </c>
      <c r="O30" s="27">
        <v>638.17</v>
      </c>
      <c r="P30" s="27">
        <v>1568.77</v>
      </c>
      <c r="Q30" s="27">
        <v>207.71</v>
      </c>
      <c r="R30" s="27">
        <v>444.8</v>
      </c>
      <c r="S30" s="27">
        <v>352.12</v>
      </c>
      <c r="T30" s="27">
        <v>564.12</v>
      </c>
      <c r="U30" s="27">
        <v>6093.07</v>
      </c>
      <c r="V30" s="27">
        <v>2488.45</v>
      </c>
      <c r="W30" s="27">
        <v>413.83</v>
      </c>
      <c r="X30" s="27">
        <v>700.04</v>
      </c>
      <c r="Y30" s="27">
        <v>576.14</v>
      </c>
      <c r="Z30" s="27">
        <v>798.43</v>
      </c>
      <c r="AA30" s="27">
        <v>523.49</v>
      </c>
      <c r="AB30" s="27">
        <v>68.06</v>
      </c>
      <c r="AC30" s="27">
        <v>183.54</v>
      </c>
      <c r="AD30" s="27">
        <v>102.37</v>
      </c>
      <c r="AE30" s="27">
        <v>169.52</v>
      </c>
      <c r="AF30" s="27">
        <v>3011.94</v>
      </c>
      <c r="AG30" s="27"/>
      <c r="AH30" s="27"/>
      <c r="AI30" s="27"/>
      <c r="AJ30" s="27"/>
    </row>
    <row r="31" ht="25.5" customHeight="1">
      <c r="A31" s="23">
        <v>28.0</v>
      </c>
      <c r="B31" s="24">
        <v>46204.0</v>
      </c>
      <c r="C31" s="26" t="s">
        <v>2</v>
      </c>
      <c r="D31" s="26" t="s">
        <v>254</v>
      </c>
      <c r="E31" s="23" t="s">
        <v>255</v>
      </c>
      <c r="F31" s="23" t="s">
        <v>256</v>
      </c>
      <c r="G31" s="26"/>
      <c r="H31" s="26" t="s">
        <v>70</v>
      </c>
      <c r="I31" s="23" t="s">
        <v>107</v>
      </c>
      <c r="J31" s="23" t="s">
        <v>74</v>
      </c>
      <c r="K31" s="27">
        <v>3572.09</v>
      </c>
      <c r="L31" s="27">
        <v>1020.34</v>
      </c>
      <c r="M31" s="27">
        <v>1408.16</v>
      </c>
      <c r="N31" s="27">
        <v>1143.22</v>
      </c>
      <c r="O31" s="27">
        <v>0.35</v>
      </c>
      <c r="P31" s="27">
        <v>8215.66</v>
      </c>
      <c r="Q31" s="27">
        <v>1110.63</v>
      </c>
      <c r="R31" s="27">
        <v>2531.54</v>
      </c>
      <c r="S31" s="27">
        <v>2080.47</v>
      </c>
      <c r="T31" s="27">
        <v>2493.01</v>
      </c>
      <c r="U31" s="27">
        <v>11787.75</v>
      </c>
      <c r="V31" s="27">
        <v>365.56</v>
      </c>
      <c r="W31" s="27">
        <v>72.38</v>
      </c>
      <c r="X31" s="27">
        <v>127.95</v>
      </c>
      <c r="Y31" s="27">
        <v>154.79</v>
      </c>
      <c r="Z31" s="27">
        <v>10.43</v>
      </c>
      <c r="AA31" s="27">
        <v>670.28</v>
      </c>
      <c r="AB31" s="27">
        <v>127.63</v>
      </c>
      <c r="AC31" s="27">
        <v>292.13</v>
      </c>
      <c r="AD31" s="27">
        <v>155.64</v>
      </c>
      <c r="AE31" s="27">
        <v>94.86</v>
      </c>
      <c r="AF31" s="27">
        <v>1035.84</v>
      </c>
      <c r="AG31" s="27"/>
      <c r="AH31" s="27"/>
      <c r="AI31" s="27"/>
      <c r="AJ31" s="27"/>
    </row>
    <row r="32" ht="25.5" customHeight="1">
      <c r="A32" s="23">
        <v>29.0</v>
      </c>
      <c r="B32" s="24">
        <v>46204.0</v>
      </c>
      <c r="C32" s="26" t="s">
        <v>2</v>
      </c>
      <c r="D32" s="26" t="s">
        <v>260</v>
      </c>
      <c r="E32" s="23" t="s">
        <v>261</v>
      </c>
      <c r="F32" s="23" t="s">
        <v>262</v>
      </c>
      <c r="G32" s="26"/>
      <c r="H32" s="26" t="s">
        <v>70</v>
      </c>
      <c r="I32" s="23" t="s">
        <v>72</v>
      </c>
      <c r="J32" s="23" t="s">
        <v>74</v>
      </c>
      <c r="K32" s="27">
        <v>9479.61</v>
      </c>
      <c r="L32" s="27">
        <v>2003.04</v>
      </c>
      <c r="M32" s="27">
        <v>3322.48</v>
      </c>
      <c r="N32" s="27">
        <v>2703.69</v>
      </c>
      <c r="O32" s="27">
        <v>1450.39</v>
      </c>
      <c r="P32" s="27">
        <v>0.0</v>
      </c>
      <c r="Q32" s="27">
        <v>0.0</v>
      </c>
      <c r="R32" s="27">
        <v>0.0</v>
      </c>
      <c r="S32" s="27">
        <v>0.0</v>
      </c>
      <c r="T32" s="27">
        <v>0.0</v>
      </c>
      <c r="U32" s="27">
        <v>9479.61</v>
      </c>
      <c r="V32" s="27">
        <v>486.12</v>
      </c>
      <c r="W32" s="27">
        <v>79.98</v>
      </c>
      <c r="X32" s="27">
        <v>180.5</v>
      </c>
      <c r="Y32" s="27">
        <v>147.5</v>
      </c>
      <c r="Z32" s="27">
        <v>78.12</v>
      </c>
      <c r="AA32" s="27">
        <v>162.7</v>
      </c>
      <c r="AB32" s="27">
        <v>47.09</v>
      </c>
      <c r="AC32" s="27">
        <v>55.29</v>
      </c>
      <c r="AD32" s="27">
        <v>34.89</v>
      </c>
      <c r="AE32" s="27">
        <v>25.42</v>
      </c>
      <c r="AF32" s="27">
        <v>648.82</v>
      </c>
      <c r="AG32" s="27"/>
      <c r="AH32" s="27"/>
      <c r="AI32" s="27"/>
      <c r="AJ32" s="27"/>
    </row>
    <row r="33" ht="25.5" customHeight="1">
      <c r="A33" s="23">
        <v>30.0</v>
      </c>
      <c r="B33" s="24">
        <v>46204.0</v>
      </c>
      <c r="C33" s="26" t="s">
        <v>2</v>
      </c>
      <c r="D33" s="26" t="s">
        <v>267</v>
      </c>
      <c r="E33" s="23" t="s">
        <v>268</v>
      </c>
      <c r="F33" s="23" t="s">
        <v>269</v>
      </c>
      <c r="G33" s="26"/>
      <c r="H33" s="26" t="s">
        <v>70</v>
      </c>
      <c r="I33" s="23" t="s">
        <v>72</v>
      </c>
      <c r="J33" s="23" t="s">
        <v>74</v>
      </c>
      <c r="K33" s="27">
        <v>8422.62</v>
      </c>
      <c r="L33" s="27">
        <v>2123.16</v>
      </c>
      <c r="M33" s="27">
        <v>2810.85</v>
      </c>
      <c r="N33" s="27">
        <v>2252.94</v>
      </c>
      <c r="O33" s="27">
        <v>1235.65</v>
      </c>
      <c r="P33" s="27">
        <v>7.1</v>
      </c>
      <c r="Q33" s="27">
        <v>0.0</v>
      </c>
      <c r="R33" s="27">
        <v>0.29</v>
      </c>
      <c r="S33" s="27">
        <v>6.81</v>
      </c>
      <c r="T33" s="27">
        <v>0.0</v>
      </c>
      <c r="U33" s="27">
        <v>8429.72</v>
      </c>
      <c r="V33" s="27">
        <v>429.42</v>
      </c>
      <c r="W33" s="27">
        <v>93.89</v>
      </c>
      <c r="X33" s="27">
        <v>151.4</v>
      </c>
      <c r="Y33" s="27">
        <v>125.2</v>
      </c>
      <c r="Z33" s="27">
        <v>58.92</v>
      </c>
      <c r="AA33" s="27">
        <v>160.09</v>
      </c>
      <c r="AB33" s="27">
        <v>35.44</v>
      </c>
      <c r="AC33" s="27">
        <v>43.61</v>
      </c>
      <c r="AD33" s="27">
        <v>41.93</v>
      </c>
      <c r="AE33" s="27">
        <v>39.1</v>
      </c>
      <c r="AF33" s="27">
        <v>589.51</v>
      </c>
      <c r="AG33" s="27"/>
      <c r="AH33" s="27"/>
      <c r="AI33" s="27"/>
      <c r="AJ33" s="27"/>
    </row>
    <row r="34" ht="25.5" customHeight="1">
      <c r="A34" s="23">
        <v>31.0</v>
      </c>
      <c r="B34" s="24">
        <v>46204.0</v>
      </c>
      <c r="C34" s="26" t="s">
        <v>2</v>
      </c>
      <c r="D34" s="26" t="s">
        <v>273</v>
      </c>
      <c r="E34" s="23" t="s">
        <v>274</v>
      </c>
      <c r="F34" s="23" t="s">
        <v>275</v>
      </c>
      <c r="G34" s="26"/>
      <c r="H34" s="26" t="s">
        <v>70</v>
      </c>
      <c r="I34" s="23" t="s">
        <v>72</v>
      </c>
      <c r="J34" s="23" t="s">
        <v>74</v>
      </c>
      <c r="K34" s="27">
        <v>5733.75</v>
      </c>
      <c r="L34" s="27">
        <v>1236.62</v>
      </c>
      <c r="M34" s="27">
        <v>2017.27</v>
      </c>
      <c r="N34" s="27">
        <v>1596.89</v>
      </c>
      <c r="O34" s="27">
        <v>882.95</v>
      </c>
      <c r="P34" s="27">
        <v>83.58</v>
      </c>
      <c r="Q34" s="27">
        <v>0.0</v>
      </c>
      <c r="R34" s="27">
        <v>11.41</v>
      </c>
      <c r="S34" s="27">
        <v>72.16</v>
      </c>
      <c r="T34" s="27">
        <v>0.0</v>
      </c>
      <c r="U34" s="27">
        <v>5817.33</v>
      </c>
      <c r="V34" s="27">
        <v>400.61</v>
      </c>
      <c r="W34" s="27">
        <v>74.56</v>
      </c>
      <c r="X34" s="27">
        <v>140.81</v>
      </c>
      <c r="Y34" s="27">
        <v>107.9</v>
      </c>
      <c r="Z34" s="27">
        <v>77.33</v>
      </c>
      <c r="AA34" s="27">
        <v>92.98</v>
      </c>
      <c r="AB34" s="27">
        <v>34.86</v>
      </c>
      <c r="AC34" s="27">
        <v>26.77</v>
      </c>
      <c r="AD34" s="27">
        <v>22.95</v>
      </c>
      <c r="AE34" s="27">
        <v>8.38</v>
      </c>
      <c r="AF34" s="27">
        <v>493.59</v>
      </c>
      <c r="AG34" s="27"/>
      <c r="AH34" s="27"/>
      <c r="AI34" s="27"/>
      <c r="AJ34" s="27"/>
    </row>
    <row r="35" ht="25.5" customHeight="1">
      <c r="A35" s="23">
        <v>32.0</v>
      </c>
      <c r="B35" s="24">
        <v>46204.0</v>
      </c>
      <c r="C35" s="26" t="s">
        <v>2</v>
      </c>
      <c r="D35" s="26" t="s">
        <v>279</v>
      </c>
      <c r="E35" s="23" t="s">
        <v>280</v>
      </c>
      <c r="F35" s="23" t="s">
        <v>281</v>
      </c>
      <c r="G35" s="26"/>
      <c r="H35" s="26" t="s">
        <v>70</v>
      </c>
      <c r="I35" s="23" t="s">
        <v>282</v>
      </c>
      <c r="J35" s="23" t="s">
        <v>74</v>
      </c>
      <c r="K35" s="27">
        <v>16064.8</v>
      </c>
      <c r="L35" s="27">
        <v>2528.96</v>
      </c>
      <c r="M35" s="27">
        <v>5757.71</v>
      </c>
      <c r="N35" s="27">
        <v>4429.28</v>
      </c>
      <c r="O35" s="27">
        <v>3348.83</v>
      </c>
      <c r="P35" s="27">
        <v>0.0</v>
      </c>
      <c r="Q35" s="27">
        <v>0.0</v>
      </c>
      <c r="R35" s="27">
        <v>0.0</v>
      </c>
      <c r="S35" s="27">
        <v>0.0</v>
      </c>
      <c r="T35" s="27">
        <v>0.0</v>
      </c>
      <c r="U35" s="27">
        <v>16064.8</v>
      </c>
      <c r="V35" s="27">
        <v>2373.86</v>
      </c>
      <c r="W35" s="27">
        <v>360.17</v>
      </c>
      <c r="X35" s="27">
        <v>840.17</v>
      </c>
      <c r="Y35" s="27">
        <v>564.54</v>
      </c>
      <c r="Z35" s="27">
        <v>608.96</v>
      </c>
      <c r="AA35" s="27">
        <v>67.5</v>
      </c>
      <c r="AB35" s="27">
        <v>17.77</v>
      </c>
      <c r="AC35" s="27">
        <v>18.84</v>
      </c>
      <c r="AD35" s="27">
        <v>15.11</v>
      </c>
      <c r="AE35" s="27">
        <v>15.77</v>
      </c>
      <c r="AF35" s="27">
        <v>2441.36</v>
      </c>
      <c r="AG35" s="27"/>
      <c r="AH35" s="27"/>
      <c r="AI35" s="27"/>
      <c r="AJ35" s="27"/>
    </row>
    <row r="36" ht="25.5" customHeight="1">
      <c r="A36" s="23">
        <v>33.0</v>
      </c>
      <c r="B36" s="24">
        <v>46204.0</v>
      </c>
      <c r="C36" s="26" t="s">
        <v>2</v>
      </c>
      <c r="D36" s="26" t="s">
        <v>285</v>
      </c>
      <c r="E36" s="23" t="s">
        <v>286</v>
      </c>
      <c r="F36" s="23" t="s">
        <v>287</v>
      </c>
      <c r="G36" s="26"/>
      <c r="H36" s="26" t="s">
        <v>70</v>
      </c>
      <c r="I36" s="23" t="s">
        <v>107</v>
      </c>
      <c r="J36" s="23" t="s">
        <v>74</v>
      </c>
      <c r="K36" s="27">
        <v>3675.97</v>
      </c>
      <c r="L36" s="27">
        <v>780.57</v>
      </c>
      <c r="M36" s="27">
        <v>1207.91</v>
      </c>
      <c r="N36" s="27">
        <v>1052.03</v>
      </c>
      <c r="O36" s="27">
        <v>635.45</v>
      </c>
      <c r="P36" s="27">
        <v>0.0</v>
      </c>
      <c r="Q36" s="27">
        <v>0.0</v>
      </c>
      <c r="R36" s="27">
        <v>0.0</v>
      </c>
      <c r="S36" s="27">
        <v>0.0</v>
      </c>
      <c r="T36" s="27">
        <v>0.0</v>
      </c>
      <c r="U36" s="27">
        <v>3675.97</v>
      </c>
      <c r="V36" s="27">
        <v>195.86</v>
      </c>
      <c r="W36" s="27">
        <v>40.21</v>
      </c>
      <c r="X36" s="27">
        <v>74.14</v>
      </c>
      <c r="Y36" s="27">
        <v>62.53</v>
      </c>
      <c r="Z36" s="27">
        <v>18.97</v>
      </c>
      <c r="AA36" s="27">
        <v>54.0</v>
      </c>
      <c r="AB36" s="27">
        <v>12.92</v>
      </c>
      <c r="AC36" s="27">
        <v>12.71</v>
      </c>
      <c r="AD36" s="27">
        <v>9.63</v>
      </c>
      <c r="AE36" s="27">
        <v>18.73</v>
      </c>
      <c r="AF36" s="27">
        <v>249.86</v>
      </c>
      <c r="AG36" s="27"/>
      <c r="AH36" s="27"/>
      <c r="AI36" s="27"/>
      <c r="AJ36" s="27"/>
    </row>
    <row r="37" ht="25.5" customHeight="1">
      <c r="A37" s="23">
        <v>34.0</v>
      </c>
      <c r="B37" s="24">
        <v>46204.0</v>
      </c>
      <c r="C37" s="26" t="s">
        <v>2</v>
      </c>
      <c r="D37" s="26" t="s">
        <v>289</v>
      </c>
      <c r="E37" s="23" t="s">
        <v>290</v>
      </c>
      <c r="F37" s="23" t="s">
        <v>291</v>
      </c>
      <c r="G37" s="26"/>
      <c r="H37" s="26" t="s">
        <v>70</v>
      </c>
      <c r="I37" s="23" t="s">
        <v>72</v>
      </c>
      <c r="J37" s="23" t="s">
        <v>74</v>
      </c>
      <c r="K37" s="27">
        <v>22619.17</v>
      </c>
      <c r="L37" s="27">
        <v>4993.98</v>
      </c>
      <c r="M37" s="27">
        <v>7935.68</v>
      </c>
      <c r="N37" s="27">
        <v>6528.78</v>
      </c>
      <c r="O37" s="27">
        <v>3160.71</v>
      </c>
      <c r="P37" s="27">
        <v>0.1</v>
      </c>
      <c r="Q37" s="27">
        <v>0.01</v>
      </c>
      <c r="R37" s="27">
        <v>0.03</v>
      </c>
      <c r="S37" s="27">
        <v>0.01</v>
      </c>
      <c r="T37" s="27">
        <v>0.03</v>
      </c>
      <c r="U37" s="27">
        <v>22619.27</v>
      </c>
      <c r="V37" s="27">
        <v>417.57</v>
      </c>
      <c r="W37" s="27">
        <v>86.23</v>
      </c>
      <c r="X37" s="27">
        <v>147.96</v>
      </c>
      <c r="Y37" s="27">
        <v>140.68</v>
      </c>
      <c r="Z37" s="27">
        <v>42.69</v>
      </c>
      <c r="AA37" s="27">
        <v>666.81</v>
      </c>
      <c r="AB37" s="27">
        <v>196.46</v>
      </c>
      <c r="AC37" s="27">
        <v>196.22</v>
      </c>
      <c r="AD37" s="27">
        <v>155.11</v>
      </c>
      <c r="AE37" s="27">
        <v>119.01</v>
      </c>
      <c r="AF37" s="27">
        <v>1084.38</v>
      </c>
      <c r="AG37" s="27"/>
      <c r="AH37" s="27"/>
      <c r="AI37" s="27"/>
      <c r="AJ37" s="27"/>
    </row>
    <row r="38" ht="25.5" customHeight="1">
      <c r="A38" s="23">
        <v>35.0</v>
      </c>
      <c r="B38" s="24">
        <v>46204.0</v>
      </c>
      <c r="C38" s="26" t="s">
        <v>2</v>
      </c>
      <c r="D38" s="26" t="s">
        <v>295</v>
      </c>
      <c r="E38" s="23" t="s">
        <v>296</v>
      </c>
      <c r="F38" s="23" t="s">
        <v>297</v>
      </c>
      <c r="G38" s="26"/>
      <c r="H38" s="26" t="s">
        <v>70</v>
      </c>
      <c r="I38" s="23" t="s">
        <v>107</v>
      </c>
      <c r="J38" s="23" t="s">
        <v>74</v>
      </c>
      <c r="K38" s="27">
        <v>8863.89</v>
      </c>
      <c r="L38" s="27">
        <v>2479.45</v>
      </c>
      <c r="M38" s="27">
        <v>3240.14</v>
      </c>
      <c r="N38" s="27">
        <v>2981.5</v>
      </c>
      <c r="O38" s="27">
        <v>162.78</v>
      </c>
      <c r="P38" s="27">
        <v>30940.61</v>
      </c>
      <c r="Q38" s="27">
        <v>6300.89</v>
      </c>
      <c r="R38" s="27">
        <v>10523.74</v>
      </c>
      <c r="S38" s="27">
        <v>9020.88</v>
      </c>
      <c r="T38" s="27">
        <v>5095.09</v>
      </c>
      <c r="U38" s="27">
        <v>39804.5</v>
      </c>
      <c r="V38" s="27">
        <v>854.69</v>
      </c>
      <c r="W38" s="27">
        <v>221.41</v>
      </c>
      <c r="X38" s="27">
        <v>252.03</v>
      </c>
      <c r="Y38" s="27">
        <v>313.0</v>
      </c>
      <c r="Z38" s="27">
        <v>68.25</v>
      </c>
      <c r="AA38" s="27">
        <v>3090.79</v>
      </c>
      <c r="AB38" s="27">
        <v>547.77</v>
      </c>
      <c r="AC38" s="27">
        <v>1099.92</v>
      </c>
      <c r="AD38" s="27">
        <v>900.25</v>
      </c>
      <c r="AE38" s="27">
        <v>542.84</v>
      </c>
      <c r="AF38" s="27">
        <v>3945.48</v>
      </c>
      <c r="AG38" s="27"/>
      <c r="AH38" s="27"/>
      <c r="AI38" s="27"/>
      <c r="AJ38" s="27"/>
    </row>
    <row r="39" ht="25.5" customHeight="1">
      <c r="A39" s="23">
        <v>36.0</v>
      </c>
      <c r="B39" s="24">
        <v>46204.0</v>
      </c>
      <c r="C39" s="26" t="s">
        <v>2</v>
      </c>
      <c r="D39" s="26" t="s">
        <v>300</v>
      </c>
      <c r="E39" s="23" t="s">
        <v>301</v>
      </c>
      <c r="F39" s="23" t="s">
        <v>302</v>
      </c>
      <c r="G39" s="26"/>
      <c r="H39" s="26" t="s">
        <v>70</v>
      </c>
      <c r="I39" s="23" t="s">
        <v>107</v>
      </c>
      <c r="J39" s="23" t="s">
        <v>74</v>
      </c>
      <c r="K39" s="27">
        <v>1776.01</v>
      </c>
      <c r="L39" s="27">
        <v>445.18</v>
      </c>
      <c r="M39" s="27">
        <v>669.61</v>
      </c>
      <c r="N39" s="27">
        <v>481.58</v>
      </c>
      <c r="O39" s="27">
        <v>179.63</v>
      </c>
      <c r="P39" s="27">
        <v>0.0</v>
      </c>
      <c r="Q39" s="27">
        <v>0.0</v>
      </c>
      <c r="R39" s="27">
        <v>0.0</v>
      </c>
      <c r="S39" s="27">
        <v>0.0</v>
      </c>
      <c r="T39" s="27">
        <v>0.0</v>
      </c>
      <c r="U39" s="27">
        <v>1776.01</v>
      </c>
      <c r="V39" s="27">
        <v>319.46</v>
      </c>
      <c r="W39" s="27">
        <v>51.08</v>
      </c>
      <c r="X39" s="27">
        <v>100.01</v>
      </c>
      <c r="Y39" s="27">
        <v>76.86</v>
      </c>
      <c r="Z39" s="27">
        <v>91.49</v>
      </c>
      <c r="AA39" s="27">
        <v>27.53</v>
      </c>
      <c r="AB39" s="27">
        <v>11.95</v>
      </c>
      <c r="AC39" s="27">
        <v>9.24</v>
      </c>
      <c r="AD39" s="27">
        <v>4.62</v>
      </c>
      <c r="AE39" s="27">
        <v>1.71</v>
      </c>
      <c r="AF39" s="27">
        <v>346.99</v>
      </c>
      <c r="AG39" s="27"/>
      <c r="AH39" s="27"/>
      <c r="AI39" s="27"/>
      <c r="AJ39" s="27"/>
    </row>
    <row r="40" ht="25.5" customHeight="1">
      <c r="A40" s="23">
        <v>37.0</v>
      </c>
      <c r="B40" s="24">
        <v>46204.0</v>
      </c>
      <c r="C40" s="26" t="s">
        <v>2</v>
      </c>
      <c r="D40" s="26" t="s">
        <v>303</v>
      </c>
      <c r="E40" s="23" t="s">
        <v>304</v>
      </c>
      <c r="F40" s="23" t="s">
        <v>305</v>
      </c>
      <c r="G40" s="26"/>
      <c r="H40" s="26" t="s">
        <v>70</v>
      </c>
      <c r="I40" s="23" t="s">
        <v>306</v>
      </c>
      <c r="J40" s="23" t="s">
        <v>74</v>
      </c>
      <c r="K40" s="27">
        <v>7077.71</v>
      </c>
      <c r="L40" s="27">
        <v>1444.32</v>
      </c>
      <c r="M40" s="27">
        <v>2340.5</v>
      </c>
      <c r="N40" s="27">
        <v>1913.92</v>
      </c>
      <c r="O40" s="27">
        <v>1378.96</v>
      </c>
      <c r="P40" s="27">
        <v>296.15</v>
      </c>
      <c r="Q40" s="27">
        <v>43.21</v>
      </c>
      <c r="R40" s="27">
        <v>66.53</v>
      </c>
      <c r="S40" s="27">
        <v>71.44</v>
      </c>
      <c r="T40" s="27">
        <v>114.95</v>
      </c>
      <c r="U40" s="27">
        <v>7373.86</v>
      </c>
      <c r="V40" s="27">
        <v>828.0</v>
      </c>
      <c r="W40" s="27">
        <v>123.91</v>
      </c>
      <c r="X40" s="27">
        <v>213.22</v>
      </c>
      <c r="Y40" s="27">
        <v>195.47</v>
      </c>
      <c r="Z40" s="27">
        <v>295.38</v>
      </c>
      <c r="AA40" s="27">
        <v>219.55</v>
      </c>
      <c r="AB40" s="27">
        <v>46.49</v>
      </c>
      <c r="AC40" s="27">
        <v>74.32</v>
      </c>
      <c r="AD40" s="27">
        <v>77.64</v>
      </c>
      <c r="AE40" s="27">
        <v>21.09</v>
      </c>
      <c r="AF40" s="27">
        <v>1047.55</v>
      </c>
      <c r="AG40" s="27"/>
      <c r="AH40" s="27"/>
      <c r="AI40" s="27"/>
      <c r="AJ40" s="27"/>
    </row>
    <row r="41" ht="25.5" customHeight="1">
      <c r="A41" s="23">
        <v>38.0</v>
      </c>
      <c r="B41" s="24">
        <v>46204.0</v>
      </c>
      <c r="C41" s="26" t="s">
        <v>2</v>
      </c>
      <c r="D41" s="26" t="s">
        <v>309</v>
      </c>
      <c r="E41" s="23" t="s">
        <v>310</v>
      </c>
      <c r="F41" s="23" t="s">
        <v>311</v>
      </c>
      <c r="G41" s="26"/>
      <c r="H41" s="26" t="s">
        <v>70</v>
      </c>
      <c r="I41" s="23" t="s">
        <v>72</v>
      </c>
      <c r="J41" s="23" t="s">
        <v>74</v>
      </c>
      <c r="K41" s="27">
        <v>1488.07</v>
      </c>
      <c r="L41" s="27">
        <v>395.82</v>
      </c>
      <c r="M41" s="27">
        <v>558.04</v>
      </c>
      <c r="N41" s="27">
        <v>409.19</v>
      </c>
      <c r="O41" s="27">
        <v>125.01</v>
      </c>
      <c r="P41" s="27">
        <v>244.63</v>
      </c>
      <c r="Q41" s="27">
        <v>33.03</v>
      </c>
      <c r="R41" s="27">
        <v>82.98</v>
      </c>
      <c r="S41" s="27">
        <v>61.58</v>
      </c>
      <c r="T41" s="27">
        <v>67.03</v>
      </c>
      <c r="U41" s="27">
        <v>1732.7</v>
      </c>
      <c r="V41" s="27">
        <v>358.48</v>
      </c>
      <c r="W41" s="27">
        <v>53.42</v>
      </c>
      <c r="X41" s="27">
        <v>157.16</v>
      </c>
      <c r="Y41" s="27">
        <v>96.64</v>
      </c>
      <c r="Z41" s="27">
        <v>51.23</v>
      </c>
      <c r="AA41" s="27">
        <v>614.25</v>
      </c>
      <c r="AB41" s="27">
        <v>91.72</v>
      </c>
      <c r="AC41" s="27">
        <v>146.17</v>
      </c>
      <c r="AD41" s="27">
        <v>167.82</v>
      </c>
      <c r="AE41" s="27">
        <v>208.52</v>
      </c>
      <c r="AF41" s="27">
        <v>972.73</v>
      </c>
      <c r="AG41" s="27"/>
      <c r="AH41" s="27"/>
      <c r="AI41" s="27"/>
      <c r="AJ41" s="27"/>
    </row>
    <row r="42" ht="25.5" customHeight="1">
      <c r="A42" s="23">
        <v>39.0</v>
      </c>
      <c r="B42" s="24">
        <v>46204.0</v>
      </c>
      <c r="C42" s="26" t="s">
        <v>2</v>
      </c>
      <c r="D42" s="26" t="s">
        <v>314</v>
      </c>
      <c r="E42" s="23" t="s">
        <v>315</v>
      </c>
      <c r="F42" s="23" t="s">
        <v>316</v>
      </c>
      <c r="G42" s="26"/>
      <c r="H42" s="26" t="s">
        <v>70</v>
      </c>
      <c r="I42" s="23" t="s">
        <v>107</v>
      </c>
      <c r="J42" s="23" t="s">
        <v>74</v>
      </c>
      <c r="K42" s="27">
        <v>12834.56</v>
      </c>
      <c r="L42" s="27">
        <v>3949.24</v>
      </c>
      <c r="M42" s="27">
        <v>4839.52</v>
      </c>
      <c r="N42" s="27">
        <v>3806.39</v>
      </c>
      <c r="O42" s="27">
        <v>239.4</v>
      </c>
      <c r="P42" s="27">
        <v>5.94</v>
      </c>
      <c r="Q42" s="27">
        <v>1.29</v>
      </c>
      <c r="R42" s="27">
        <v>1.63</v>
      </c>
      <c r="S42" s="27">
        <v>1.23</v>
      </c>
      <c r="T42" s="27">
        <v>1.78</v>
      </c>
      <c r="U42" s="27">
        <v>12840.5</v>
      </c>
      <c r="V42" s="27">
        <v>925.34</v>
      </c>
      <c r="W42" s="27">
        <v>196.82</v>
      </c>
      <c r="X42" s="27">
        <v>288.16</v>
      </c>
      <c r="Y42" s="27">
        <v>273.24</v>
      </c>
      <c r="Z42" s="27">
        <v>167.11</v>
      </c>
      <c r="AA42" s="27">
        <v>34.26</v>
      </c>
      <c r="AB42" s="27">
        <v>15.09</v>
      </c>
      <c r="AC42" s="27">
        <v>11.65</v>
      </c>
      <c r="AD42" s="27">
        <v>4.81</v>
      </c>
      <c r="AE42" s="27">
        <v>2.69</v>
      </c>
      <c r="AF42" s="27">
        <v>959.6</v>
      </c>
      <c r="AG42" s="27"/>
      <c r="AH42" s="27"/>
      <c r="AI42" s="27"/>
      <c r="AJ42" s="27"/>
    </row>
    <row r="43" ht="25.5" customHeight="1">
      <c r="A43" s="23">
        <v>40.0</v>
      </c>
      <c r="B43" s="24">
        <v>46204.0</v>
      </c>
      <c r="C43" s="26" t="s">
        <v>2</v>
      </c>
      <c r="D43" s="26" t="s">
        <v>319</v>
      </c>
      <c r="E43" s="23" t="s">
        <v>320</v>
      </c>
      <c r="F43" s="23" t="s">
        <v>321</v>
      </c>
      <c r="G43" s="26"/>
      <c r="H43" s="26" t="s">
        <v>70</v>
      </c>
      <c r="I43" s="23" t="s">
        <v>141</v>
      </c>
      <c r="J43" s="23" t="s">
        <v>74</v>
      </c>
      <c r="K43" s="27">
        <v>11428.94</v>
      </c>
      <c r="L43" s="27">
        <v>813.06</v>
      </c>
      <c r="M43" s="27">
        <v>4626.49</v>
      </c>
      <c r="N43" s="27">
        <v>3691.32</v>
      </c>
      <c r="O43" s="27">
        <v>2298.06</v>
      </c>
      <c r="P43" s="27">
        <v>2907.44</v>
      </c>
      <c r="Q43" s="27">
        <v>0.47</v>
      </c>
      <c r="R43" s="27">
        <v>1022.47</v>
      </c>
      <c r="S43" s="27">
        <v>814.32</v>
      </c>
      <c r="T43" s="27">
        <v>1070.16</v>
      </c>
      <c r="U43" s="27">
        <v>14336.38</v>
      </c>
      <c r="V43" s="27">
        <v>3939.67</v>
      </c>
      <c r="W43" s="27">
        <v>80.97</v>
      </c>
      <c r="X43" s="27">
        <v>1473.64</v>
      </c>
      <c r="Y43" s="27">
        <v>1191.75</v>
      </c>
      <c r="Z43" s="27">
        <v>1193.3</v>
      </c>
      <c r="AA43" s="27">
        <v>955.74</v>
      </c>
      <c r="AB43" s="27">
        <v>0.41</v>
      </c>
      <c r="AC43" s="27">
        <v>284.14</v>
      </c>
      <c r="AD43" s="27">
        <v>281.78</v>
      </c>
      <c r="AE43" s="27">
        <v>389.41</v>
      </c>
      <c r="AF43" s="27">
        <v>4895.41</v>
      </c>
      <c r="AG43" s="27"/>
      <c r="AH43" s="27"/>
      <c r="AI43" s="27"/>
      <c r="AJ43" s="27"/>
    </row>
    <row r="44" ht="25.5" customHeight="1">
      <c r="A44" s="23">
        <v>41.0</v>
      </c>
      <c r="B44" s="24">
        <v>46204.0</v>
      </c>
      <c r="C44" s="26" t="s">
        <v>2</v>
      </c>
      <c r="D44" s="26" t="s">
        <v>127</v>
      </c>
      <c r="E44" s="23" t="s">
        <v>128</v>
      </c>
      <c r="F44" s="23" t="s">
        <v>324</v>
      </c>
      <c r="G44" s="26"/>
      <c r="H44" s="26" t="s">
        <v>70</v>
      </c>
      <c r="I44" s="23" t="s">
        <v>107</v>
      </c>
      <c r="J44" s="23" t="s">
        <v>74</v>
      </c>
      <c r="K44" s="27">
        <v>16127.5</v>
      </c>
      <c r="L44" s="27">
        <v>2549.89</v>
      </c>
      <c r="M44" s="27">
        <v>6356.4</v>
      </c>
      <c r="N44" s="27">
        <v>5293.01</v>
      </c>
      <c r="O44" s="27">
        <v>1928.18</v>
      </c>
      <c r="P44" s="27">
        <v>945.4</v>
      </c>
      <c r="Q44" s="27">
        <v>234.04</v>
      </c>
      <c r="R44" s="27">
        <v>327.22</v>
      </c>
      <c r="S44" s="27">
        <v>384.12</v>
      </c>
      <c r="T44" s="27">
        <v>0.0</v>
      </c>
      <c r="U44" s="27">
        <v>17072.9</v>
      </c>
      <c r="V44" s="27">
        <v>6186.65</v>
      </c>
      <c r="W44" s="27">
        <v>838.54</v>
      </c>
      <c r="X44" s="27">
        <v>2590.82</v>
      </c>
      <c r="Y44" s="27">
        <v>2109.24</v>
      </c>
      <c r="Z44" s="27">
        <v>648.04</v>
      </c>
      <c r="AA44" s="27">
        <v>39.25</v>
      </c>
      <c r="AB44" s="27">
        <v>12.66</v>
      </c>
      <c r="AC44" s="27">
        <v>9.83</v>
      </c>
      <c r="AD44" s="27">
        <v>6.46</v>
      </c>
      <c r="AE44" s="27">
        <v>10.29</v>
      </c>
      <c r="AF44" s="27">
        <v>6225.9</v>
      </c>
      <c r="AG44" s="27"/>
      <c r="AH44" s="27"/>
      <c r="AI44" s="27"/>
      <c r="AJ44" s="27"/>
    </row>
    <row r="45" ht="25.5" customHeight="1">
      <c r="A45" s="23">
        <v>42.0</v>
      </c>
      <c r="B45" s="24">
        <v>46204.0</v>
      </c>
      <c r="C45" s="26" t="s">
        <v>2</v>
      </c>
      <c r="D45" s="26" t="s">
        <v>182</v>
      </c>
      <c r="E45" s="23" t="s">
        <v>183</v>
      </c>
      <c r="F45" s="23" t="s">
        <v>329</v>
      </c>
      <c r="G45" s="26"/>
      <c r="H45" s="26" t="s">
        <v>70</v>
      </c>
      <c r="I45" s="23" t="s">
        <v>107</v>
      </c>
      <c r="J45" s="23" t="s">
        <v>74</v>
      </c>
      <c r="K45" s="27">
        <v>6030.67</v>
      </c>
      <c r="L45" s="27">
        <v>1181.08</v>
      </c>
      <c r="M45" s="27">
        <v>1975.9</v>
      </c>
      <c r="N45" s="27">
        <v>1591.93</v>
      </c>
      <c r="O45" s="27">
        <v>1281.75</v>
      </c>
      <c r="P45" s="27">
        <v>2867.81</v>
      </c>
      <c r="Q45" s="27">
        <v>364.65</v>
      </c>
      <c r="R45" s="27">
        <v>854.56</v>
      </c>
      <c r="S45" s="27">
        <v>757.13</v>
      </c>
      <c r="T45" s="27">
        <v>891.45</v>
      </c>
      <c r="U45" s="27">
        <v>8898.48</v>
      </c>
      <c r="V45" s="27">
        <v>142.83</v>
      </c>
      <c r="W45" s="27">
        <v>25.18</v>
      </c>
      <c r="X45" s="27">
        <v>49.59</v>
      </c>
      <c r="Y45" s="27">
        <v>36.12</v>
      </c>
      <c r="Z45" s="27">
        <v>31.92</v>
      </c>
      <c r="AA45" s="27">
        <v>537.87</v>
      </c>
      <c r="AB45" s="27">
        <v>84.15</v>
      </c>
      <c r="AC45" s="27">
        <v>171.89</v>
      </c>
      <c r="AD45" s="27">
        <v>135.68</v>
      </c>
      <c r="AE45" s="27">
        <v>146.15</v>
      </c>
      <c r="AF45" s="27">
        <v>680.7</v>
      </c>
      <c r="AG45" s="27"/>
      <c r="AH45" s="27"/>
      <c r="AI45" s="27"/>
      <c r="AJ45" s="27"/>
    </row>
    <row r="46" ht="25.5" customHeight="1">
      <c r="A46" s="23">
        <v>43.0</v>
      </c>
      <c r="B46" s="24">
        <v>46204.0</v>
      </c>
      <c r="C46" s="26" t="s">
        <v>2</v>
      </c>
      <c r="D46" s="26" t="s">
        <v>332</v>
      </c>
      <c r="E46" s="23" t="s">
        <v>333</v>
      </c>
      <c r="F46" s="23" t="s">
        <v>334</v>
      </c>
      <c r="G46" s="26"/>
      <c r="H46" s="26" t="s">
        <v>70</v>
      </c>
      <c r="I46" s="23" t="s">
        <v>107</v>
      </c>
      <c r="J46" s="23" t="s">
        <v>74</v>
      </c>
      <c r="K46" s="27">
        <v>6935.0</v>
      </c>
      <c r="L46" s="27">
        <v>1450.94</v>
      </c>
      <c r="M46" s="27">
        <v>2347.52</v>
      </c>
      <c r="N46" s="27">
        <v>1998.22</v>
      </c>
      <c r="O46" s="27">
        <v>1138.31</v>
      </c>
      <c r="P46" s="27">
        <v>10.99</v>
      </c>
      <c r="Q46" s="27">
        <v>1.42</v>
      </c>
      <c r="R46" s="27">
        <v>7.86</v>
      </c>
      <c r="S46" s="27">
        <v>1.24</v>
      </c>
      <c r="T46" s="27">
        <v>0.46</v>
      </c>
      <c r="U46" s="27">
        <v>6945.99</v>
      </c>
      <c r="V46" s="27">
        <v>891.23</v>
      </c>
      <c r="W46" s="27">
        <v>173.82</v>
      </c>
      <c r="X46" s="27">
        <v>288.4</v>
      </c>
      <c r="Y46" s="27">
        <v>251.68</v>
      </c>
      <c r="Z46" s="27">
        <v>177.31</v>
      </c>
      <c r="AA46" s="27">
        <v>41.23</v>
      </c>
      <c r="AB46" s="27">
        <v>7.39</v>
      </c>
      <c r="AC46" s="27">
        <v>23.72</v>
      </c>
      <c r="AD46" s="27">
        <v>7.13</v>
      </c>
      <c r="AE46" s="27">
        <v>2.97</v>
      </c>
      <c r="AF46" s="27">
        <v>932.46</v>
      </c>
      <c r="AG46" s="27"/>
      <c r="AH46" s="27"/>
      <c r="AI46" s="27"/>
      <c r="AJ46" s="27"/>
    </row>
    <row r="47" ht="25.5" customHeight="1">
      <c r="A47" s="23">
        <v>44.0</v>
      </c>
      <c r="B47" s="24">
        <v>46204.0</v>
      </c>
      <c r="C47" s="26" t="s">
        <v>2</v>
      </c>
      <c r="D47" s="26" t="s">
        <v>270</v>
      </c>
      <c r="E47" s="23" t="s">
        <v>271</v>
      </c>
      <c r="F47" s="23" t="s">
        <v>339</v>
      </c>
      <c r="G47" s="26"/>
      <c r="H47" s="26" t="s">
        <v>70</v>
      </c>
      <c r="I47" s="23" t="s">
        <v>107</v>
      </c>
      <c r="J47" s="23" t="s">
        <v>74</v>
      </c>
      <c r="K47" s="27">
        <v>29511.91</v>
      </c>
      <c r="L47" s="27">
        <v>5932.39</v>
      </c>
      <c r="M47" s="27">
        <v>9571.62</v>
      </c>
      <c r="N47" s="27">
        <v>7899.03</v>
      </c>
      <c r="O47" s="27">
        <v>6108.86</v>
      </c>
      <c r="P47" s="27">
        <v>0.0</v>
      </c>
      <c r="Q47" s="27">
        <v>0.0</v>
      </c>
      <c r="R47" s="27">
        <v>0.0</v>
      </c>
      <c r="S47" s="27">
        <v>0.0</v>
      </c>
      <c r="T47" s="27">
        <v>0.0</v>
      </c>
      <c r="U47" s="27">
        <v>29511.91</v>
      </c>
      <c r="V47" s="27">
        <v>1677.91</v>
      </c>
      <c r="W47" s="27">
        <v>328.25</v>
      </c>
      <c r="X47" s="27">
        <v>592.63</v>
      </c>
      <c r="Y47" s="27">
        <v>468.27</v>
      </c>
      <c r="Z47" s="27">
        <v>288.75</v>
      </c>
      <c r="AA47" s="27">
        <v>171.35</v>
      </c>
      <c r="AB47" s="27">
        <v>51.12</v>
      </c>
      <c r="AC47" s="27">
        <v>50.06</v>
      </c>
      <c r="AD47" s="27">
        <v>39.46</v>
      </c>
      <c r="AE47" s="27">
        <v>30.7</v>
      </c>
      <c r="AF47" s="27">
        <v>1849.26</v>
      </c>
      <c r="AG47" s="27"/>
      <c r="AH47" s="27"/>
      <c r="AI47" s="27"/>
      <c r="AJ47" s="27"/>
    </row>
    <row r="48" ht="25.5" customHeight="1">
      <c r="A48" s="23">
        <v>45.0</v>
      </c>
      <c r="B48" s="24">
        <v>46204.0</v>
      </c>
      <c r="C48" s="26" t="s">
        <v>2</v>
      </c>
      <c r="D48" s="26" t="s">
        <v>82</v>
      </c>
      <c r="E48" s="23" t="s">
        <v>84</v>
      </c>
      <c r="F48" s="23" t="s">
        <v>342</v>
      </c>
      <c r="G48" s="26"/>
      <c r="H48" s="26" t="s">
        <v>70</v>
      </c>
      <c r="I48" s="23" t="s">
        <v>72</v>
      </c>
      <c r="J48" s="23" t="s">
        <v>74</v>
      </c>
      <c r="K48" s="27">
        <v>7185.13</v>
      </c>
      <c r="L48" s="27">
        <v>1143.44</v>
      </c>
      <c r="M48" s="27">
        <v>2289.71</v>
      </c>
      <c r="N48" s="27">
        <v>1924.4</v>
      </c>
      <c r="O48" s="27">
        <v>1827.56</v>
      </c>
      <c r="P48" s="27">
        <v>2.23</v>
      </c>
      <c r="Q48" s="27">
        <v>0.31</v>
      </c>
      <c r="R48" s="27">
        <v>0.76</v>
      </c>
      <c r="S48" s="27">
        <v>0.44</v>
      </c>
      <c r="T48" s="27">
        <v>0.71</v>
      </c>
      <c r="U48" s="27">
        <v>7187.36</v>
      </c>
      <c r="V48" s="27">
        <v>944.57</v>
      </c>
      <c r="W48" s="27">
        <v>112.48</v>
      </c>
      <c r="X48" s="27">
        <v>398.95</v>
      </c>
      <c r="Y48" s="27">
        <v>278.83</v>
      </c>
      <c r="Z48" s="27">
        <v>154.3</v>
      </c>
      <c r="AA48" s="27">
        <v>228.29</v>
      </c>
      <c r="AB48" s="27">
        <v>33.3</v>
      </c>
      <c r="AC48" s="27">
        <v>31.59</v>
      </c>
      <c r="AD48" s="27">
        <v>59.37</v>
      </c>
      <c r="AE48" s="27">
        <v>104.01</v>
      </c>
      <c r="AF48" s="27">
        <v>1172.86</v>
      </c>
      <c r="AG48" s="27"/>
      <c r="AH48" s="27"/>
      <c r="AI48" s="27"/>
      <c r="AJ48" s="27"/>
    </row>
    <row r="49" ht="25.5" customHeight="1">
      <c r="A49" s="23">
        <v>46.0</v>
      </c>
      <c r="B49" s="24">
        <v>46204.0</v>
      </c>
      <c r="C49" s="26" t="s">
        <v>2</v>
      </c>
      <c r="D49" s="26" t="s">
        <v>345</v>
      </c>
      <c r="E49" s="23" t="s">
        <v>347</v>
      </c>
      <c r="F49" s="23" t="s">
        <v>348</v>
      </c>
      <c r="G49" s="26"/>
      <c r="H49" s="26" t="s">
        <v>70</v>
      </c>
      <c r="I49" s="23" t="s">
        <v>81</v>
      </c>
      <c r="J49" s="23" t="s">
        <v>74</v>
      </c>
      <c r="K49" s="27">
        <v>19175.03</v>
      </c>
      <c r="L49" s="27">
        <v>3876.59</v>
      </c>
      <c r="M49" s="27">
        <v>6369.39</v>
      </c>
      <c r="N49" s="27">
        <v>5073.08</v>
      </c>
      <c r="O49" s="27">
        <v>3855.97</v>
      </c>
      <c r="P49" s="27">
        <v>1.08</v>
      </c>
      <c r="Q49" s="27">
        <v>0.14</v>
      </c>
      <c r="R49" s="27">
        <v>0.3</v>
      </c>
      <c r="S49" s="27">
        <v>0.22</v>
      </c>
      <c r="T49" s="27">
        <v>0.4</v>
      </c>
      <c r="U49" s="27">
        <v>19176.11</v>
      </c>
      <c r="V49" s="27">
        <v>1060.73</v>
      </c>
      <c r="W49" s="27">
        <v>179.61</v>
      </c>
      <c r="X49" s="27">
        <v>389.82</v>
      </c>
      <c r="Y49" s="27">
        <v>291.99</v>
      </c>
      <c r="Z49" s="27">
        <v>199.3</v>
      </c>
      <c r="AA49" s="27">
        <v>39.57</v>
      </c>
      <c r="AB49" s="27">
        <v>21.0</v>
      </c>
      <c r="AC49" s="27">
        <v>9.34</v>
      </c>
      <c r="AD49" s="27">
        <v>8.73</v>
      </c>
      <c r="AE49" s="27">
        <v>0.49</v>
      </c>
      <c r="AF49" s="27">
        <v>1100.3</v>
      </c>
      <c r="AG49" s="27"/>
      <c r="AH49" s="27"/>
      <c r="AI49" s="27"/>
      <c r="AJ49" s="27"/>
    </row>
    <row r="50" ht="25.5" customHeight="1">
      <c r="A50" s="23">
        <v>47.0</v>
      </c>
      <c r="B50" s="24">
        <v>46204.0</v>
      </c>
      <c r="C50" s="26" t="s">
        <v>2</v>
      </c>
      <c r="D50" s="26" t="s">
        <v>352</v>
      </c>
      <c r="E50" s="23" t="s">
        <v>353</v>
      </c>
      <c r="F50" s="23" t="s">
        <v>354</v>
      </c>
      <c r="G50" s="26"/>
      <c r="H50" s="26" t="s">
        <v>70</v>
      </c>
      <c r="I50" s="23" t="s">
        <v>72</v>
      </c>
      <c r="J50" s="23" t="s">
        <v>74</v>
      </c>
      <c r="K50" s="27">
        <v>6302.52</v>
      </c>
      <c r="L50" s="27">
        <v>2013.41</v>
      </c>
      <c r="M50" s="27">
        <v>2306.06</v>
      </c>
      <c r="N50" s="27">
        <v>1946.14</v>
      </c>
      <c r="O50" s="27">
        <v>36.89</v>
      </c>
      <c r="P50" s="27">
        <v>13832.84</v>
      </c>
      <c r="Q50" s="27">
        <v>2151.56</v>
      </c>
      <c r="R50" s="27">
        <v>4177.68</v>
      </c>
      <c r="S50" s="27">
        <v>3310.79</v>
      </c>
      <c r="T50" s="27">
        <v>4192.79</v>
      </c>
      <c r="U50" s="27">
        <v>20135.36</v>
      </c>
      <c r="V50" s="27">
        <v>662.49</v>
      </c>
      <c r="W50" s="27">
        <v>161.49</v>
      </c>
      <c r="X50" s="27">
        <v>207.99</v>
      </c>
      <c r="Y50" s="27">
        <v>215.01</v>
      </c>
      <c r="Z50" s="27">
        <v>77.99</v>
      </c>
      <c r="AA50" s="27">
        <v>421.18</v>
      </c>
      <c r="AB50" s="27">
        <v>75.13</v>
      </c>
      <c r="AC50" s="27">
        <v>158.51</v>
      </c>
      <c r="AD50" s="27">
        <v>99.17</v>
      </c>
      <c r="AE50" s="27">
        <v>88.36</v>
      </c>
      <c r="AF50" s="27">
        <v>1083.67</v>
      </c>
      <c r="AG50" s="27"/>
      <c r="AH50" s="27"/>
      <c r="AI50" s="27"/>
      <c r="AJ50" s="27"/>
    </row>
    <row r="51" ht="25.5" customHeight="1">
      <c r="A51" s="23">
        <v>48.0</v>
      </c>
      <c r="B51" s="24">
        <v>46204.0</v>
      </c>
      <c r="C51" s="26" t="s">
        <v>2</v>
      </c>
      <c r="D51" s="26" t="s">
        <v>359</v>
      </c>
      <c r="E51" s="23" t="s">
        <v>360</v>
      </c>
      <c r="F51" s="23" t="s">
        <v>361</v>
      </c>
      <c r="G51" s="26"/>
      <c r="H51" s="26" t="s">
        <v>70</v>
      </c>
      <c r="I51" s="23" t="s">
        <v>72</v>
      </c>
      <c r="J51" s="23" t="s">
        <v>74</v>
      </c>
      <c r="K51" s="27">
        <v>4958.41</v>
      </c>
      <c r="L51" s="27">
        <v>1470.15</v>
      </c>
      <c r="M51" s="27">
        <v>1994.39</v>
      </c>
      <c r="N51" s="27">
        <v>1493.17</v>
      </c>
      <c r="O51" s="27">
        <v>0.68</v>
      </c>
      <c r="P51" s="27">
        <v>24464.37</v>
      </c>
      <c r="Q51" s="27">
        <v>3406.34</v>
      </c>
      <c r="R51" s="27">
        <v>7076.21</v>
      </c>
      <c r="S51" s="27">
        <v>6066.66</v>
      </c>
      <c r="T51" s="27">
        <v>7915.14</v>
      </c>
      <c r="U51" s="27">
        <v>29422.78</v>
      </c>
      <c r="V51" s="27">
        <v>423.11</v>
      </c>
      <c r="W51" s="27">
        <v>59.14</v>
      </c>
      <c r="X51" s="27">
        <v>134.96</v>
      </c>
      <c r="Y51" s="27">
        <v>160.04</v>
      </c>
      <c r="Z51" s="27">
        <v>68.96</v>
      </c>
      <c r="AA51" s="27">
        <v>1213.76</v>
      </c>
      <c r="AB51" s="27">
        <v>201.52</v>
      </c>
      <c r="AC51" s="27">
        <v>528.18</v>
      </c>
      <c r="AD51" s="27">
        <v>249.9</v>
      </c>
      <c r="AE51" s="27">
        <v>234.15</v>
      </c>
      <c r="AF51" s="27">
        <v>1636.87</v>
      </c>
      <c r="AG51" s="27"/>
      <c r="AH51" s="27"/>
      <c r="AI51" s="27"/>
      <c r="AJ51" s="27"/>
    </row>
    <row r="52" ht="25.5" customHeight="1">
      <c r="A52" s="23">
        <v>49.0</v>
      </c>
      <c r="B52" s="24">
        <v>46204.0</v>
      </c>
      <c r="C52" s="26" t="s">
        <v>2</v>
      </c>
      <c r="D52" s="26" t="s">
        <v>238</v>
      </c>
      <c r="E52" s="23" t="s">
        <v>239</v>
      </c>
      <c r="F52" s="23" t="s">
        <v>362</v>
      </c>
      <c r="G52" s="26"/>
      <c r="H52" s="26" t="s">
        <v>70</v>
      </c>
      <c r="I52" s="23" t="s">
        <v>107</v>
      </c>
      <c r="J52" s="23" t="s">
        <v>74</v>
      </c>
      <c r="K52" s="27">
        <v>5715.44</v>
      </c>
      <c r="L52" s="27">
        <v>1223.06</v>
      </c>
      <c r="M52" s="27">
        <v>1952.57</v>
      </c>
      <c r="N52" s="27">
        <v>1554.11</v>
      </c>
      <c r="O52" s="27">
        <v>985.69</v>
      </c>
      <c r="P52" s="27">
        <v>0.0</v>
      </c>
      <c r="Q52" s="27">
        <v>0.0</v>
      </c>
      <c r="R52" s="27">
        <v>0.0</v>
      </c>
      <c r="S52" s="27">
        <v>0.0</v>
      </c>
      <c r="T52" s="27">
        <v>0.0</v>
      </c>
      <c r="U52" s="27">
        <v>5715.44</v>
      </c>
      <c r="V52" s="27">
        <v>876.65</v>
      </c>
      <c r="W52" s="27">
        <v>166.65</v>
      </c>
      <c r="X52" s="27">
        <v>307.11</v>
      </c>
      <c r="Y52" s="27">
        <v>224.35</v>
      </c>
      <c r="Z52" s="27">
        <v>178.53</v>
      </c>
      <c r="AA52" s="27">
        <v>116.68</v>
      </c>
      <c r="AB52" s="27">
        <v>36.06</v>
      </c>
      <c r="AC52" s="27">
        <v>37.75</v>
      </c>
      <c r="AD52" s="27">
        <v>20.57</v>
      </c>
      <c r="AE52" s="27">
        <v>22.28</v>
      </c>
      <c r="AF52" s="27">
        <v>993.33</v>
      </c>
      <c r="AG52" s="27"/>
      <c r="AH52" s="27"/>
      <c r="AI52" s="27"/>
      <c r="AJ52" s="27"/>
    </row>
    <row r="53" ht="25.5" customHeight="1">
      <c r="A53" s="23">
        <v>50.0</v>
      </c>
      <c r="B53" s="24">
        <v>46204.0</v>
      </c>
      <c r="C53" s="26" t="s">
        <v>2</v>
      </c>
      <c r="D53" s="26" t="s">
        <v>163</v>
      </c>
      <c r="E53" s="23" t="s">
        <v>164</v>
      </c>
      <c r="F53" s="23" t="s">
        <v>365</v>
      </c>
      <c r="G53" s="26"/>
      <c r="H53" s="26" t="s">
        <v>70</v>
      </c>
      <c r="I53" s="23" t="s">
        <v>72</v>
      </c>
      <c r="J53" s="23" t="s">
        <v>74</v>
      </c>
      <c r="K53" s="27">
        <v>19366.76</v>
      </c>
      <c r="L53" s="27">
        <v>3863.63</v>
      </c>
      <c r="M53" s="27">
        <v>6538.89</v>
      </c>
      <c r="N53" s="27">
        <v>5860.15</v>
      </c>
      <c r="O53" s="27">
        <v>3104.08</v>
      </c>
      <c r="P53" s="27">
        <v>0.0</v>
      </c>
      <c r="Q53" s="27">
        <v>0.0</v>
      </c>
      <c r="R53" s="27">
        <v>0.0</v>
      </c>
      <c r="S53" s="27">
        <v>0.0</v>
      </c>
      <c r="T53" s="27">
        <v>0.0</v>
      </c>
      <c r="U53" s="27">
        <v>19366.76</v>
      </c>
      <c r="V53" s="27">
        <v>2151.48</v>
      </c>
      <c r="W53" s="27">
        <v>225.75</v>
      </c>
      <c r="X53" s="27">
        <v>846.9</v>
      </c>
      <c r="Y53" s="27">
        <v>972.83</v>
      </c>
      <c r="Z53" s="27">
        <v>105.97</v>
      </c>
      <c r="AA53" s="27">
        <v>275.57</v>
      </c>
      <c r="AB53" s="27">
        <v>69.88</v>
      </c>
      <c r="AC53" s="27">
        <v>51.97</v>
      </c>
      <c r="AD53" s="27">
        <v>66.81</v>
      </c>
      <c r="AE53" s="27">
        <v>86.9</v>
      </c>
      <c r="AF53" s="27">
        <v>2427.05</v>
      </c>
      <c r="AG53" s="27"/>
      <c r="AH53" s="27"/>
      <c r="AI53" s="27"/>
      <c r="AJ53" s="27"/>
    </row>
    <row r="54" ht="25.5" customHeight="1">
      <c r="A54" s="23">
        <v>51.0</v>
      </c>
      <c r="B54" s="24">
        <v>46204.0</v>
      </c>
      <c r="C54" s="26" t="s">
        <v>2</v>
      </c>
      <c r="D54" s="26" t="s">
        <v>368</v>
      </c>
      <c r="E54" s="23" t="s">
        <v>369</v>
      </c>
      <c r="F54" s="23" t="s">
        <v>370</v>
      </c>
      <c r="G54" s="26"/>
      <c r="H54" s="26" t="s">
        <v>70</v>
      </c>
      <c r="I54" s="23" t="s">
        <v>107</v>
      </c>
      <c r="J54" s="23" t="s">
        <v>74</v>
      </c>
      <c r="K54" s="27">
        <v>3104.91</v>
      </c>
      <c r="L54" s="27">
        <v>742.23</v>
      </c>
      <c r="M54" s="27">
        <v>1188.65</v>
      </c>
      <c r="N54" s="27">
        <v>1170.93</v>
      </c>
      <c r="O54" s="27">
        <v>3.09</v>
      </c>
      <c r="P54" s="27">
        <v>10128.09</v>
      </c>
      <c r="Q54" s="27">
        <v>1350.07</v>
      </c>
      <c r="R54" s="27">
        <v>3302.5</v>
      </c>
      <c r="S54" s="27">
        <v>2417.26</v>
      </c>
      <c r="T54" s="27">
        <v>3058.24</v>
      </c>
      <c r="U54" s="27">
        <v>13233.0</v>
      </c>
      <c r="V54" s="27">
        <v>2179.76</v>
      </c>
      <c r="W54" s="27">
        <v>476.22</v>
      </c>
      <c r="X54" s="27">
        <v>729.26</v>
      </c>
      <c r="Y54" s="27">
        <v>953.5</v>
      </c>
      <c r="Z54" s="27">
        <v>20.77</v>
      </c>
      <c r="AA54" s="27">
        <v>1053.02</v>
      </c>
      <c r="AB54" s="27">
        <v>108.92</v>
      </c>
      <c r="AC54" s="27">
        <v>488.28</v>
      </c>
      <c r="AD54" s="27">
        <v>242.53</v>
      </c>
      <c r="AE54" s="27">
        <v>213.26</v>
      </c>
      <c r="AF54" s="27">
        <v>3232.78</v>
      </c>
      <c r="AG54" s="27"/>
      <c r="AH54" s="27"/>
      <c r="AI54" s="27"/>
      <c r="AJ54" s="27"/>
    </row>
    <row r="55" ht="25.5" customHeight="1">
      <c r="A55" s="23">
        <v>52.0</v>
      </c>
      <c r="B55" s="24">
        <v>46204.0</v>
      </c>
      <c r="C55" s="26" t="s">
        <v>2</v>
      </c>
      <c r="D55" s="26" t="s">
        <v>133</v>
      </c>
      <c r="E55" s="23" t="s">
        <v>375</v>
      </c>
      <c r="F55" s="23" t="s">
        <v>376</v>
      </c>
      <c r="G55" s="26"/>
      <c r="H55" s="26" t="s">
        <v>70</v>
      </c>
      <c r="I55" s="23" t="s">
        <v>81</v>
      </c>
      <c r="J55" s="23" t="s">
        <v>74</v>
      </c>
      <c r="K55" s="27">
        <v>3274.48</v>
      </c>
      <c r="L55" s="27">
        <v>1031.8</v>
      </c>
      <c r="M55" s="27">
        <v>1267.28</v>
      </c>
      <c r="N55" s="27">
        <v>970.43</v>
      </c>
      <c r="O55" s="27">
        <v>4.96</v>
      </c>
      <c r="P55" s="27">
        <v>10361.82</v>
      </c>
      <c r="Q55" s="27">
        <v>2127.68</v>
      </c>
      <c r="R55" s="27">
        <v>3327.54</v>
      </c>
      <c r="S55" s="27">
        <v>2765.73</v>
      </c>
      <c r="T55" s="27">
        <v>2140.85</v>
      </c>
      <c r="U55" s="27">
        <v>13636.3</v>
      </c>
      <c r="V55" s="27">
        <v>162.29</v>
      </c>
      <c r="W55" s="27">
        <v>39.84</v>
      </c>
      <c r="X55" s="27">
        <v>56.28</v>
      </c>
      <c r="Y55" s="27">
        <v>61.19</v>
      </c>
      <c r="Z55" s="27">
        <v>4.97</v>
      </c>
      <c r="AA55" s="27">
        <v>720.5</v>
      </c>
      <c r="AB55" s="27">
        <v>138.09</v>
      </c>
      <c r="AC55" s="27">
        <v>244.12</v>
      </c>
      <c r="AD55" s="27">
        <v>202.47</v>
      </c>
      <c r="AE55" s="27">
        <v>135.8</v>
      </c>
      <c r="AF55" s="27">
        <v>882.79</v>
      </c>
      <c r="AG55" s="27"/>
      <c r="AH55" s="27"/>
      <c r="AI55" s="27"/>
      <c r="AJ55" s="27"/>
    </row>
    <row r="56" ht="25.5" customHeight="1">
      <c r="A56" s="23">
        <v>53.0</v>
      </c>
      <c r="B56" s="24">
        <v>46204.0</v>
      </c>
      <c r="C56" s="26" t="s">
        <v>2</v>
      </c>
      <c r="D56" s="26" t="s">
        <v>175</v>
      </c>
      <c r="E56" s="23" t="s">
        <v>176</v>
      </c>
      <c r="F56" s="23" t="s">
        <v>379</v>
      </c>
      <c r="G56" s="26"/>
      <c r="H56" s="26" t="s">
        <v>70</v>
      </c>
      <c r="I56" s="23" t="s">
        <v>81</v>
      </c>
      <c r="J56" s="23" t="s">
        <v>74</v>
      </c>
      <c r="K56" s="27">
        <v>2397.11</v>
      </c>
      <c r="L56" s="27">
        <v>840.3</v>
      </c>
      <c r="M56" s="27">
        <v>965.71</v>
      </c>
      <c r="N56" s="27">
        <v>589.27</v>
      </c>
      <c r="O56" s="27">
        <v>1.83</v>
      </c>
      <c r="P56" s="27">
        <v>7482.98</v>
      </c>
      <c r="Q56" s="27">
        <v>1011.96</v>
      </c>
      <c r="R56" s="27">
        <v>2198.94</v>
      </c>
      <c r="S56" s="27">
        <v>1944.95</v>
      </c>
      <c r="T56" s="27">
        <v>2327.11</v>
      </c>
      <c r="U56" s="27">
        <v>9880.09</v>
      </c>
      <c r="V56" s="27">
        <v>196.25</v>
      </c>
      <c r="W56" s="27">
        <v>36.0</v>
      </c>
      <c r="X56" s="27">
        <v>52.61</v>
      </c>
      <c r="Y56" s="27">
        <v>69.26</v>
      </c>
      <c r="Z56" s="27">
        <v>38.36</v>
      </c>
      <c r="AA56" s="27">
        <v>477.74</v>
      </c>
      <c r="AB56" s="27">
        <v>70.25</v>
      </c>
      <c r="AC56" s="27">
        <v>169.15</v>
      </c>
      <c r="AD56" s="27">
        <v>110.11</v>
      </c>
      <c r="AE56" s="27">
        <v>128.22</v>
      </c>
      <c r="AF56" s="27">
        <v>673.99</v>
      </c>
      <c r="AG56" s="27"/>
      <c r="AH56" s="27"/>
      <c r="AI56" s="27"/>
      <c r="AJ56" s="27"/>
    </row>
    <row r="57" ht="25.5" customHeight="1">
      <c r="A57" s="23">
        <v>54.0</v>
      </c>
      <c r="B57" s="24">
        <v>46204.0</v>
      </c>
      <c r="C57" s="26" t="s">
        <v>2</v>
      </c>
      <c r="D57" s="26" t="s">
        <v>113</v>
      </c>
      <c r="E57" s="23" t="s">
        <v>187</v>
      </c>
      <c r="F57" s="23" t="s">
        <v>384</v>
      </c>
      <c r="G57" s="26"/>
      <c r="H57" s="26" t="s">
        <v>70</v>
      </c>
      <c r="I57" s="23" t="s">
        <v>107</v>
      </c>
      <c r="J57" s="23" t="s">
        <v>74</v>
      </c>
      <c r="K57" s="27">
        <v>24481.6</v>
      </c>
      <c r="L57" s="27">
        <v>4613.87</v>
      </c>
      <c r="M57" s="27">
        <v>7803.54</v>
      </c>
      <c r="N57" s="27">
        <v>6449.34</v>
      </c>
      <c r="O57" s="27">
        <v>5614.84</v>
      </c>
      <c r="P57" s="27">
        <v>5545.82</v>
      </c>
      <c r="Q57" s="27">
        <v>1651.13</v>
      </c>
      <c r="R57" s="27">
        <v>2189.42</v>
      </c>
      <c r="S57" s="27">
        <v>1705.26</v>
      </c>
      <c r="T57" s="27">
        <v>0.0</v>
      </c>
      <c r="U57" s="27">
        <v>30027.42</v>
      </c>
      <c r="V57" s="27">
        <v>1261.49</v>
      </c>
      <c r="W57" s="27">
        <v>181.59</v>
      </c>
      <c r="X57" s="27">
        <v>465.13</v>
      </c>
      <c r="Y57" s="27">
        <v>309.3</v>
      </c>
      <c r="Z57" s="27">
        <v>305.45</v>
      </c>
      <c r="AA57" s="27">
        <v>439.81</v>
      </c>
      <c r="AB57" s="27">
        <v>110.57</v>
      </c>
      <c r="AC57" s="27">
        <v>151.6</v>
      </c>
      <c r="AD57" s="27">
        <v>167.12</v>
      </c>
      <c r="AE57" s="27">
        <v>10.51</v>
      </c>
      <c r="AF57" s="27">
        <v>1701.3</v>
      </c>
      <c r="AG57" s="27"/>
      <c r="AH57" s="27"/>
      <c r="AI57" s="27"/>
      <c r="AJ57" s="27"/>
    </row>
    <row r="58" ht="25.5" customHeight="1">
      <c r="A58" s="23">
        <v>55.0</v>
      </c>
      <c r="B58" s="24">
        <v>46204.0</v>
      </c>
      <c r="C58" s="26" t="s">
        <v>2</v>
      </c>
      <c r="D58" s="26" t="s">
        <v>389</v>
      </c>
      <c r="E58" s="23" t="s">
        <v>390</v>
      </c>
      <c r="F58" s="23" t="s">
        <v>391</v>
      </c>
      <c r="G58" s="26"/>
      <c r="H58" s="26" t="s">
        <v>70</v>
      </c>
      <c r="I58" s="23" t="s">
        <v>99</v>
      </c>
      <c r="J58" s="23" t="s">
        <v>74</v>
      </c>
      <c r="K58" s="27">
        <v>5550.55</v>
      </c>
      <c r="L58" s="27">
        <v>1280.15</v>
      </c>
      <c r="M58" s="27">
        <v>2100.06</v>
      </c>
      <c r="N58" s="27">
        <v>1774.58</v>
      </c>
      <c r="O58" s="27">
        <v>395.75</v>
      </c>
      <c r="P58" s="27">
        <v>0.64</v>
      </c>
      <c r="Q58" s="27">
        <v>0.06</v>
      </c>
      <c r="R58" s="27">
        <v>0.12</v>
      </c>
      <c r="S58" s="27">
        <v>0.19</v>
      </c>
      <c r="T58" s="27">
        <v>0.25</v>
      </c>
      <c r="U58" s="27">
        <v>5551.19</v>
      </c>
      <c r="V58" s="27">
        <v>444.37</v>
      </c>
      <c r="W58" s="27">
        <v>93.27</v>
      </c>
      <c r="X58" s="27">
        <v>153.02</v>
      </c>
      <c r="Y58" s="27">
        <v>173.68</v>
      </c>
      <c r="Z58" s="27">
        <v>24.38</v>
      </c>
      <c r="AA58" s="27">
        <v>116.35</v>
      </c>
      <c r="AB58" s="27">
        <v>45.78</v>
      </c>
      <c r="AC58" s="27">
        <v>31.21</v>
      </c>
      <c r="AD58" s="27">
        <v>24.19</v>
      </c>
      <c r="AE58" s="27">
        <v>15.17</v>
      </c>
      <c r="AF58" s="27">
        <v>560.72</v>
      </c>
      <c r="AG58" s="27"/>
      <c r="AH58" s="27"/>
      <c r="AI58" s="27"/>
      <c r="AJ58" s="27"/>
    </row>
    <row r="59" ht="25.5" customHeight="1">
      <c r="A59" s="23">
        <v>56.0</v>
      </c>
      <c r="B59" s="24">
        <v>46204.0</v>
      </c>
      <c r="C59" s="26" t="s">
        <v>2</v>
      </c>
      <c r="D59" s="26" t="s">
        <v>223</v>
      </c>
      <c r="E59" s="23" t="s">
        <v>226</v>
      </c>
      <c r="F59" s="23" t="s">
        <v>396</v>
      </c>
      <c r="G59" s="26"/>
      <c r="H59" s="26" t="s">
        <v>70</v>
      </c>
      <c r="I59" s="23" t="s">
        <v>81</v>
      </c>
      <c r="J59" s="23" t="s">
        <v>74</v>
      </c>
      <c r="K59" s="27">
        <v>27265.8</v>
      </c>
      <c r="L59" s="27">
        <v>5570.74</v>
      </c>
      <c r="M59" s="27">
        <v>9501.64</v>
      </c>
      <c r="N59" s="27">
        <v>7725.38</v>
      </c>
      <c r="O59" s="27">
        <v>4468.02</v>
      </c>
      <c r="P59" s="27">
        <v>6506.59</v>
      </c>
      <c r="Q59" s="27">
        <v>1346.74</v>
      </c>
      <c r="R59" s="27">
        <v>2302.59</v>
      </c>
      <c r="S59" s="27">
        <v>1840.52</v>
      </c>
      <c r="T59" s="27">
        <v>1016.74</v>
      </c>
      <c r="U59" s="27">
        <v>33772.39</v>
      </c>
      <c r="V59" s="27">
        <v>4799.29</v>
      </c>
      <c r="W59" s="27">
        <v>881.78</v>
      </c>
      <c r="X59" s="27">
        <v>2118.05</v>
      </c>
      <c r="Y59" s="27">
        <v>1461.82</v>
      </c>
      <c r="Z59" s="27">
        <v>337.62</v>
      </c>
      <c r="AA59" s="27">
        <v>203.47</v>
      </c>
      <c r="AB59" s="27">
        <v>41.6</v>
      </c>
      <c r="AC59" s="27">
        <v>52.18</v>
      </c>
      <c r="AD59" s="27">
        <v>47.49</v>
      </c>
      <c r="AE59" s="27">
        <v>62.17</v>
      </c>
      <c r="AF59" s="27">
        <v>5002.76</v>
      </c>
      <c r="AG59" s="27"/>
      <c r="AH59" s="27"/>
      <c r="AI59" s="27"/>
      <c r="AJ59" s="27"/>
    </row>
    <row r="60" ht="25.5" customHeight="1">
      <c r="A60" s="23">
        <v>57.0</v>
      </c>
      <c r="B60" s="24">
        <v>46204.0</v>
      </c>
      <c r="C60" s="26" t="s">
        <v>2</v>
      </c>
      <c r="D60" s="26" t="s">
        <v>199</v>
      </c>
      <c r="E60" s="23" t="s">
        <v>201</v>
      </c>
      <c r="F60" s="23" t="s">
        <v>400</v>
      </c>
      <c r="G60" s="26"/>
      <c r="H60" s="26" t="s">
        <v>70</v>
      </c>
      <c r="I60" s="23" t="s">
        <v>107</v>
      </c>
      <c r="J60" s="23" t="s">
        <v>74</v>
      </c>
      <c r="K60" s="27">
        <v>17243.15</v>
      </c>
      <c r="L60" s="27">
        <v>4254.13</v>
      </c>
      <c r="M60" s="27">
        <v>6097.11</v>
      </c>
      <c r="N60" s="27">
        <v>4798.03</v>
      </c>
      <c r="O60" s="27">
        <v>2093.86</v>
      </c>
      <c r="P60" s="27">
        <v>2135.69</v>
      </c>
      <c r="Q60" s="27">
        <v>429.85</v>
      </c>
      <c r="R60" s="27">
        <v>707.97</v>
      </c>
      <c r="S60" s="27">
        <v>562.7</v>
      </c>
      <c r="T60" s="27">
        <v>435.16</v>
      </c>
      <c r="U60" s="27">
        <v>19378.84</v>
      </c>
      <c r="V60" s="27">
        <v>825.33</v>
      </c>
      <c r="W60" s="27">
        <v>228.65</v>
      </c>
      <c r="X60" s="27">
        <v>297.75</v>
      </c>
      <c r="Y60" s="27">
        <v>298.91</v>
      </c>
      <c r="Z60" s="27">
        <v>0.01</v>
      </c>
      <c r="AA60" s="27">
        <v>10164.96</v>
      </c>
      <c r="AB60" s="27">
        <v>1991.31</v>
      </c>
      <c r="AC60" s="27">
        <v>3313.29</v>
      </c>
      <c r="AD60" s="27">
        <v>2673.66</v>
      </c>
      <c r="AE60" s="27">
        <v>2186.69</v>
      </c>
      <c r="AF60" s="27">
        <v>10990.29</v>
      </c>
      <c r="AG60" s="27"/>
      <c r="AH60" s="27"/>
      <c r="AI60" s="27"/>
      <c r="AJ60" s="27"/>
    </row>
    <row r="61" ht="25.5" customHeight="1">
      <c r="A61" s="23">
        <v>58.0</v>
      </c>
      <c r="B61" s="24">
        <v>46204.0</v>
      </c>
      <c r="C61" s="26" t="s">
        <v>2</v>
      </c>
      <c r="D61" s="26" t="s">
        <v>283</v>
      </c>
      <c r="E61" s="23" t="s">
        <v>284</v>
      </c>
      <c r="F61" s="23" t="s">
        <v>404</v>
      </c>
      <c r="G61" s="26"/>
      <c r="H61" s="26" t="s">
        <v>70</v>
      </c>
      <c r="I61" s="23" t="s">
        <v>72</v>
      </c>
      <c r="J61" s="23" t="s">
        <v>74</v>
      </c>
      <c r="K61" s="27">
        <v>8063.56</v>
      </c>
      <c r="L61" s="27">
        <v>1702.33</v>
      </c>
      <c r="M61" s="27">
        <v>2834.61</v>
      </c>
      <c r="N61" s="27">
        <v>2209.69</v>
      </c>
      <c r="O61" s="27">
        <v>1316.92</v>
      </c>
      <c r="P61" s="27">
        <v>3465.08</v>
      </c>
      <c r="Q61" s="27">
        <v>499.28</v>
      </c>
      <c r="R61" s="27">
        <v>1010.21</v>
      </c>
      <c r="S61" s="27">
        <v>813.62</v>
      </c>
      <c r="T61" s="27">
        <v>1141.95</v>
      </c>
      <c r="U61" s="27">
        <v>11528.64</v>
      </c>
      <c r="V61" s="27">
        <v>1351.79</v>
      </c>
      <c r="W61" s="27">
        <v>240.48</v>
      </c>
      <c r="X61" s="27">
        <v>580.59</v>
      </c>
      <c r="Y61" s="27">
        <v>428.35</v>
      </c>
      <c r="Z61" s="27">
        <v>102.35</v>
      </c>
      <c r="AA61" s="27">
        <v>382.03</v>
      </c>
      <c r="AB61" s="27">
        <v>106.95</v>
      </c>
      <c r="AC61" s="27">
        <v>158.75</v>
      </c>
      <c r="AD61" s="27">
        <v>60.95</v>
      </c>
      <c r="AE61" s="27">
        <v>55.37</v>
      </c>
      <c r="AF61" s="27">
        <v>1733.82</v>
      </c>
      <c r="AG61" s="27"/>
      <c r="AH61" s="27"/>
      <c r="AI61" s="27"/>
      <c r="AJ61" s="27"/>
    </row>
    <row r="62" ht="25.5" customHeight="1">
      <c r="A62" s="23">
        <v>59.0</v>
      </c>
      <c r="B62" s="24">
        <v>46204.0</v>
      </c>
      <c r="C62" s="26" t="s">
        <v>2</v>
      </c>
      <c r="D62" s="26" t="s">
        <v>405</v>
      </c>
      <c r="E62" s="23" t="s">
        <v>406</v>
      </c>
      <c r="F62" s="23" t="s">
        <v>407</v>
      </c>
      <c r="G62" s="26"/>
      <c r="H62" s="26" t="s">
        <v>70</v>
      </c>
      <c r="I62" s="23" t="s">
        <v>107</v>
      </c>
      <c r="J62" s="23" t="s">
        <v>74</v>
      </c>
      <c r="K62" s="27">
        <v>5744.16</v>
      </c>
      <c r="L62" s="27">
        <v>1181.63</v>
      </c>
      <c r="M62" s="27">
        <v>2071.86</v>
      </c>
      <c r="N62" s="27">
        <v>1628.39</v>
      </c>
      <c r="O62" s="27">
        <v>862.26</v>
      </c>
      <c r="P62" s="27">
        <v>0.94</v>
      </c>
      <c r="Q62" s="27">
        <v>0.35</v>
      </c>
      <c r="R62" s="27">
        <v>0.3</v>
      </c>
      <c r="S62" s="27">
        <v>0.28</v>
      </c>
      <c r="T62" s="27">
        <v>0.0</v>
      </c>
      <c r="U62" s="27">
        <v>5745.1</v>
      </c>
      <c r="V62" s="27">
        <v>171.12</v>
      </c>
      <c r="W62" s="27">
        <v>23.27</v>
      </c>
      <c r="X62" s="27">
        <v>94.91</v>
      </c>
      <c r="Y62" s="27">
        <v>36.59</v>
      </c>
      <c r="Z62" s="27">
        <v>16.34</v>
      </c>
      <c r="AA62" s="27">
        <v>356.72</v>
      </c>
      <c r="AB62" s="27">
        <v>94.09</v>
      </c>
      <c r="AC62" s="27">
        <v>99.69</v>
      </c>
      <c r="AD62" s="27">
        <v>83.36</v>
      </c>
      <c r="AE62" s="27">
        <v>79.57</v>
      </c>
      <c r="AF62" s="27">
        <v>527.84</v>
      </c>
      <c r="AG62" s="27"/>
      <c r="AH62" s="27"/>
      <c r="AI62" s="27"/>
      <c r="AJ62" s="27"/>
    </row>
    <row r="63" ht="25.5" customHeight="1">
      <c r="A63" s="23">
        <v>60.0</v>
      </c>
      <c r="B63" s="24">
        <v>46204.0</v>
      </c>
      <c r="C63" s="26" t="s">
        <v>2</v>
      </c>
      <c r="D63" s="26" t="s">
        <v>408</v>
      </c>
      <c r="E63" s="23" t="s">
        <v>409</v>
      </c>
      <c r="F63" s="23" t="s">
        <v>410</v>
      </c>
      <c r="G63" s="26"/>
      <c r="H63" s="26" t="s">
        <v>70</v>
      </c>
      <c r="I63" s="23" t="s">
        <v>107</v>
      </c>
      <c r="J63" s="23" t="s">
        <v>74</v>
      </c>
      <c r="K63" s="27">
        <v>5066.16</v>
      </c>
      <c r="L63" s="27">
        <v>1509.13</v>
      </c>
      <c r="M63" s="27">
        <v>2059.43</v>
      </c>
      <c r="N63" s="27">
        <v>1495.95</v>
      </c>
      <c r="O63" s="27">
        <v>1.64</v>
      </c>
      <c r="P63" s="27">
        <v>3034.74</v>
      </c>
      <c r="Q63" s="27">
        <v>417.49</v>
      </c>
      <c r="R63" s="27">
        <v>853.19</v>
      </c>
      <c r="S63" s="27">
        <v>853.49</v>
      </c>
      <c r="T63" s="27">
        <v>910.56</v>
      </c>
      <c r="U63" s="27">
        <v>8100.9</v>
      </c>
      <c r="V63" s="27">
        <v>208.43</v>
      </c>
      <c r="W63" s="27">
        <v>35.22</v>
      </c>
      <c r="X63" s="27">
        <v>83.4</v>
      </c>
      <c r="Y63" s="27">
        <v>71.88</v>
      </c>
      <c r="Z63" s="27">
        <v>17.91</v>
      </c>
      <c r="AA63" s="27">
        <v>267.6</v>
      </c>
      <c r="AB63" s="27">
        <v>86.6</v>
      </c>
      <c r="AC63" s="27">
        <v>104.42</v>
      </c>
      <c r="AD63" s="27">
        <v>52.77</v>
      </c>
      <c r="AE63" s="27">
        <v>23.8</v>
      </c>
      <c r="AF63" s="27">
        <v>476.03</v>
      </c>
      <c r="AG63" s="27"/>
      <c r="AH63" s="27"/>
      <c r="AI63" s="27"/>
      <c r="AJ63" s="27"/>
    </row>
    <row r="64" ht="25.5" customHeight="1">
      <c r="A64" s="23">
        <v>61.0</v>
      </c>
      <c r="B64" s="24">
        <v>46204.0</v>
      </c>
      <c r="C64" s="26" t="s">
        <v>2</v>
      </c>
      <c r="D64" s="26" t="s">
        <v>415</v>
      </c>
      <c r="E64" s="23" t="s">
        <v>416</v>
      </c>
      <c r="F64" s="23" t="s">
        <v>417</v>
      </c>
      <c r="G64" s="26"/>
      <c r="H64" s="26" t="s">
        <v>70</v>
      </c>
      <c r="I64" s="23" t="s">
        <v>107</v>
      </c>
      <c r="J64" s="23" t="s">
        <v>74</v>
      </c>
      <c r="K64" s="27">
        <v>2904.12</v>
      </c>
      <c r="L64" s="27">
        <v>799.95</v>
      </c>
      <c r="M64" s="27">
        <v>1252.78</v>
      </c>
      <c r="N64" s="27">
        <v>851.35</v>
      </c>
      <c r="O64" s="27">
        <v>0.02</v>
      </c>
      <c r="P64" s="27">
        <v>12523.37</v>
      </c>
      <c r="Q64" s="27">
        <v>1804.18</v>
      </c>
      <c r="R64" s="27">
        <v>3935.55</v>
      </c>
      <c r="S64" s="27">
        <v>3466.57</v>
      </c>
      <c r="T64" s="27">
        <v>3317.05</v>
      </c>
      <c r="U64" s="27">
        <v>15427.49</v>
      </c>
      <c r="V64" s="27">
        <v>219.35</v>
      </c>
      <c r="W64" s="27">
        <v>59.66</v>
      </c>
      <c r="X64" s="27">
        <v>64.81</v>
      </c>
      <c r="Y64" s="27">
        <v>80.36</v>
      </c>
      <c r="Z64" s="27">
        <v>14.52</v>
      </c>
      <c r="AA64" s="27">
        <v>940.99</v>
      </c>
      <c r="AB64" s="27">
        <v>136.49</v>
      </c>
      <c r="AC64" s="27">
        <v>327.35</v>
      </c>
      <c r="AD64" s="27">
        <v>204.98</v>
      </c>
      <c r="AE64" s="27">
        <v>272.15</v>
      </c>
      <c r="AF64" s="27">
        <v>1160.34</v>
      </c>
      <c r="AG64" s="27"/>
      <c r="AH64" s="27"/>
      <c r="AI64" s="27"/>
      <c r="AJ64" s="27"/>
    </row>
    <row r="65" ht="25.5" customHeight="1">
      <c r="A65" s="23">
        <v>62.0</v>
      </c>
      <c r="B65" s="24">
        <v>46204.0</v>
      </c>
      <c r="C65" s="26" t="s">
        <v>2</v>
      </c>
      <c r="D65" s="26" t="s">
        <v>422</v>
      </c>
      <c r="E65" s="23" t="s">
        <v>423</v>
      </c>
      <c r="F65" s="23" t="s">
        <v>424</v>
      </c>
      <c r="G65" s="26"/>
      <c r="H65" s="26" t="s">
        <v>70</v>
      </c>
      <c r="I65" s="23" t="s">
        <v>107</v>
      </c>
      <c r="J65" s="23" t="s">
        <v>74</v>
      </c>
      <c r="K65" s="27">
        <v>3327.83</v>
      </c>
      <c r="L65" s="27">
        <v>718.09</v>
      </c>
      <c r="M65" s="27">
        <v>1402.85</v>
      </c>
      <c r="N65" s="27">
        <v>1105.16</v>
      </c>
      <c r="O65" s="27">
        <v>101.72</v>
      </c>
      <c r="P65" s="27">
        <v>10138.61</v>
      </c>
      <c r="Q65" s="27">
        <v>1320.98</v>
      </c>
      <c r="R65" s="27">
        <v>3228.75</v>
      </c>
      <c r="S65" s="27">
        <v>2898.73</v>
      </c>
      <c r="T65" s="27">
        <v>2690.14</v>
      </c>
      <c r="U65" s="27">
        <v>13466.44</v>
      </c>
      <c r="V65" s="27">
        <v>431.45</v>
      </c>
      <c r="W65" s="27">
        <v>88.8</v>
      </c>
      <c r="X65" s="27">
        <v>120.79</v>
      </c>
      <c r="Y65" s="27">
        <v>153.82</v>
      </c>
      <c r="Z65" s="27">
        <v>68.03</v>
      </c>
      <c r="AA65" s="27">
        <v>1367.47</v>
      </c>
      <c r="AB65" s="27">
        <v>179.7</v>
      </c>
      <c r="AC65" s="27">
        <v>515.81</v>
      </c>
      <c r="AD65" s="27">
        <v>284.6</v>
      </c>
      <c r="AE65" s="27">
        <v>387.35</v>
      </c>
      <c r="AF65" s="27">
        <v>1798.92</v>
      </c>
      <c r="AG65" s="27"/>
      <c r="AH65" s="27"/>
      <c r="AI65" s="27"/>
      <c r="AJ65" s="27"/>
    </row>
    <row r="66" ht="25.5" customHeight="1">
      <c r="A66" s="23">
        <v>63.0</v>
      </c>
      <c r="B66" s="24">
        <v>46204.0</v>
      </c>
      <c r="C66" s="26" t="s">
        <v>2</v>
      </c>
      <c r="D66" s="26" t="s">
        <v>428</v>
      </c>
      <c r="E66" s="23" t="s">
        <v>429</v>
      </c>
      <c r="F66" s="23" t="s">
        <v>430</v>
      </c>
      <c r="G66" s="26"/>
      <c r="H66" s="26" t="s">
        <v>70</v>
      </c>
      <c r="I66" s="23" t="s">
        <v>72</v>
      </c>
      <c r="J66" s="23" t="s">
        <v>74</v>
      </c>
      <c r="K66" s="27">
        <v>13649.46</v>
      </c>
      <c r="L66" s="27">
        <v>3269.78</v>
      </c>
      <c r="M66" s="27">
        <v>4470.86</v>
      </c>
      <c r="N66" s="27">
        <v>3790.81</v>
      </c>
      <c r="O66" s="27">
        <v>2118.0</v>
      </c>
      <c r="P66" s="27">
        <v>1971.85</v>
      </c>
      <c r="Q66" s="27">
        <v>260.72</v>
      </c>
      <c r="R66" s="27">
        <v>555.06</v>
      </c>
      <c r="S66" s="27">
        <v>469.31</v>
      </c>
      <c r="T66" s="27">
        <v>686.75</v>
      </c>
      <c r="U66" s="27">
        <v>15621.31</v>
      </c>
      <c r="V66" s="27">
        <v>1185.79</v>
      </c>
      <c r="W66" s="27">
        <v>128.51</v>
      </c>
      <c r="X66" s="27">
        <v>374.79</v>
      </c>
      <c r="Y66" s="27">
        <v>586.99</v>
      </c>
      <c r="Z66" s="27">
        <v>95.5</v>
      </c>
      <c r="AA66" s="27">
        <v>130.73</v>
      </c>
      <c r="AB66" s="27">
        <v>37.23</v>
      </c>
      <c r="AC66" s="27">
        <v>44.89</v>
      </c>
      <c r="AD66" s="27">
        <v>20.54</v>
      </c>
      <c r="AE66" s="27">
        <v>28.05</v>
      </c>
      <c r="AF66" s="27">
        <v>1316.52</v>
      </c>
      <c r="AG66" s="27"/>
      <c r="AH66" s="27"/>
      <c r="AI66" s="27"/>
      <c r="AJ66" s="27"/>
    </row>
    <row r="67" ht="25.5" customHeight="1">
      <c r="A67" s="23">
        <v>64.0</v>
      </c>
      <c r="B67" s="24">
        <v>46204.0</v>
      </c>
      <c r="C67" s="26" t="s">
        <v>2</v>
      </c>
      <c r="D67" s="26" t="s">
        <v>434</v>
      </c>
      <c r="E67" s="23" t="s">
        <v>435</v>
      </c>
      <c r="F67" s="23" t="s">
        <v>436</v>
      </c>
      <c r="G67" s="26"/>
      <c r="H67" s="26" t="s">
        <v>70</v>
      </c>
      <c r="I67" s="23" t="s">
        <v>107</v>
      </c>
      <c r="J67" s="23" t="s">
        <v>74</v>
      </c>
      <c r="K67" s="27">
        <v>4932.57</v>
      </c>
      <c r="L67" s="27">
        <v>1507.08</v>
      </c>
      <c r="M67" s="27">
        <v>1993.2</v>
      </c>
      <c r="N67" s="27">
        <v>1431.83</v>
      </c>
      <c r="O67" s="27">
        <v>0.46</v>
      </c>
      <c r="P67" s="27">
        <v>4730.01</v>
      </c>
      <c r="Q67" s="27">
        <v>651.15</v>
      </c>
      <c r="R67" s="27">
        <v>1392.4</v>
      </c>
      <c r="S67" s="27">
        <v>1287.64</v>
      </c>
      <c r="T67" s="27">
        <v>1398.8</v>
      </c>
      <c r="U67" s="27">
        <v>9662.58</v>
      </c>
      <c r="V67" s="27">
        <v>272.16</v>
      </c>
      <c r="W67" s="27">
        <v>46.53</v>
      </c>
      <c r="X67" s="27">
        <v>96.17</v>
      </c>
      <c r="Y67" s="27">
        <v>96.96</v>
      </c>
      <c r="Z67" s="27">
        <v>32.48</v>
      </c>
      <c r="AA67" s="27">
        <v>257.92</v>
      </c>
      <c r="AB67" s="27">
        <v>57.38</v>
      </c>
      <c r="AC67" s="27">
        <v>94.93</v>
      </c>
      <c r="AD67" s="27">
        <v>51.01</v>
      </c>
      <c r="AE67" s="27">
        <v>54.59</v>
      </c>
      <c r="AF67" s="27">
        <v>530.08</v>
      </c>
      <c r="AG67" s="27"/>
      <c r="AH67" s="27"/>
      <c r="AI67" s="27"/>
      <c r="AJ67" s="27"/>
    </row>
    <row r="68" ht="25.5" customHeight="1">
      <c r="A68" s="23">
        <v>65.0</v>
      </c>
      <c r="B68" s="24">
        <v>46204.0</v>
      </c>
      <c r="C68" s="26" t="s">
        <v>2</v>
      </c>
      <c r="D68" s="26" t="s">
        <v>240</v>
      </c>
      <c r="E68" s="23" t="s">
        <v>244</v>
      </c>
      <c r="F68" s="23" t="s">
        <v>439</v>
      </c>
      <c r="G68" s="26"/>
      <c r="H68" s="26" t="s">
        <v>70</v>
      </c>
      <c r="I68" s="23" t="s">
        <v>72</v>
      </c>
      <c r="J68" s="23" t="s">
        <v>74</v>
      </c>
      <c r="K68" s="27">
        <v>4278.4</v>
      </c>
      <c r="L68" s="27">
        <v>907.1</v>
      </c>
      <c r="M68" s="27">
        <v>1412.24</v>
      </c>
      <c r="N68" s="27">
        <v>1157.56</v>
      </c>
      <c r="O68" s="27">
        <v>801.49</v>
      </c>
      <c r="P68" s="27">
        <v>765.69</v>
      </c>
      <c r="Q68" s="27">
        <v>97.21</v>
      </c>
      <c r="R68" s="27">
        <v>206.62</v>
      </c>
      <c r="S68" s="27">
        <v>194.6</v>
      </c>
      <c r="T68" s="27">
        <v>267.25</v>
      </c>
      <c r="U68" s="27">
        <v>5044.09</v>
      </c>
      <c r="V68" s="27">
        <v>288.13</v>
      </c>
      <c r="W68" s="27">
        <v>51.83</v>
      </c>
      <c r="X68" s="27">
        <v>102.19</v>
      </c>
      <c r="Y68" s="27">
        <v>82.72</v>
      </c>
      <c r="Z68" s="27">
        <v>51.37</v>
      </c>
      <c r="AA68" s="27">
        <v>77.4</v>
      </c>
      <c r="AB68" s="27">
        <v>16.34</v>
      </c>
      <c r="AC68" s="27">
        <v>23.5</v>
      </c>
      <c r="AD68" s="27">
        <v>15.09</v>
      </c>
      <c r="AE68" s="27">
        <v>22.46</v>
      </c>
      <c r="AF68" s="27">
        <v>365.53</v>
      </c>
      <c r="AG68" s="27"/>
      <c r="AH68" s="27"/>
      <c r="AI68" s="27"/>
      <c r="AJ68" s="27"/>
    </row>
    <row r="69" ht="25.5" customHeight="1">
      <c r="A69" s="23">
        <v>66.0</v>
      </c>
      <c r="B69" s="24">
        <v>46204.0</v>
      </c>
      <c r="C69" s="26" t="s">
        <v>2</v>
      </c>
      <c r="D69" s="26" t="s">
        <v>207</v>
      </c>
      <c r="E69" s="23" t="s">
        <v>208</v>
      </c>
      <c r="F69" s="23" t="s">
        <v>443</v>
      </c>
      <c r="G69" s="26"/>
      <c r="H69" s="26" t="s">
        <v>70</v>
      </c>
      <c r="I69" s="23" t="s">
        <v>107</v>
      </c>
      <c r="J69" s="23" t="s">
        <v>74</v>
      </c>
      <c r="K69" s="27">
        <v>30397.11</v>
      </c>
      <c r="L69" s="27">
        <v>6608.59</v>
      </c>
      <c r="M69" s="27">
        <v>10299.16</v>
      </c>
      <c r="N69" s="27">
        <v>8337.08</v>
      </c>
      <c r="O69" s="27">
        <v>5152.26</v>
      </c>
      <c r="P69" s="27">
        <v>0.0</v>
      </c>
      <c r="Q69" s="27">
        <v>0.0</v>
      </c>
      <c r="R69" s="27">
        <v>0.0</v>
      </c>
      <c r="S69" s="27">
        <v>0.0</v>
      </c>
      <c r="T69" s="27">
        <v>0.0</v>
      </c>
      <c r="U69" s="27">
        <v>30397.11</v>
      </c>
      <c r="V69" s="27">
        <v>4157.13</v>
      </c>
      <c r="W69" s="27">
        <v>953.93</v>
      </c>
      <c r="X69" s="27">
        <v>1541.39</v>
      </c>
      <c r="Y69" s="27">
        <v>1144.55</v>
      </c>
      <c r="Z69" s="27">
        <v>517.25</v>
      </c>
      <c r="AA69" s="27">
        <v>51.6</v>
      </c>
      <c r="AB69" s="27">
        <v>5.71</v>
      </c>
      <c r="AC69" s="27">
        <v>13.07</v>
      </c>
      <c r="AD69" s="27">
        <v>12.0</v>
      </c>
      <c r="AE69" s="27">
        <v>20.81</v>
      </c>
      <c r="AF69" s="27">
        <v>4208.73</v>
      </c>
      <c r="AG69" s="27"/>
      <c r="AH69" s="27"/>
      <c r="AI69" s="27"/>
      <c r="AJ69" s="27"/>
    </row>
    <row r="70" ht="25.5" customHeight="1">
      <c r="A70" s="23">
        <v>67.0</v>
      </c>
      <c r="B70" s="24">
        <v>46204.0</v>
      </c>
      <c r="C70" s="26" t="s">
        <v>2</v>
      </c>
      <c r="D70" s="26" t="s">
        <v>277</v>
      </c>
      <c r="E70" s="23" t="s">
        <v>278</v>
      </c>
      <c r="F70" s="23" t="s">
        <v>447</v>
      </c>
      <c r="G70" s="26"/>
      <c r="H70" s="26" t="s">
        <v>70</v>
      </c>
      <c r="I70" s="23" t="s">
        <v>448</v>
      </c>
      <c r="J70" s="23" t="s">
        <v>74</v>
      </c>
      <c r="K70" s="27">
        <v>21070.52</v>
      </c>
      <c r="L70" s="27">
        <v>3111.78</v>
      </c>
      <c r="M70" s="27">
        <v>7911.96</v>
      </c>
      <c r="N70" s="27">
        <v>5282.73</v>
      </c>
      <c r="O70" s="27">
        <v>4764.04</v>
      </c>
      <c r="P70" s="27">
        <v>236.15</v>
      </c>
      <c r="Q70" s="27">
        <v>50.97</v>
      </c>
      <c r="R70" s="27">
        <v>89.71</v>
      </c>
      <c r="S70" s="27">
        <v>95.47</v>
      </c>
      <c r="T70" s="27">
        <v>0.0</v>
      </c>
      <c r="U70" s="27">
        <v>21306.67</v>
      </c>
      <c r="V70" s="27">
        <v>3166.64</v>
      </c>
      <c r="W70" s="27">
        <v>435.09</v>
      </c>
      <c r="X70" s="27">
        <v>1138.6</v>
      </c>
      <c r="Y70" s="27">
        <v>757.31</v>
      </c>
      <c r="Z70" s="27">
        <v>835.62</v>
      </c>
      <c r="AA70" s="27">
        <v>134.93</v>
      </c>
      <c r="AB70" s="27">
        <v>57.14</v>
      </c>
      <c r="AC70" s="27">
        <v>53.33</v>
      </c>
      <c r="AD70" s="27">
        <v>22.36</v>
      </c>
      <c r="AE70" s="27">
        <v>2.09</v>
      </c>
      <c r="AF70" s="27">
        <v>3301.57</v>
      </c>
      <c r="AG70" s="27"/>
      <c r="AH70" s="27"/>
      <c r="AI70" s="27"/>
      <c r="AJ70" s="27"/>
    </row>
    <row r="71" ht="25.5" customHeight="1">
      <c r="A71" s="23">
        <v>68.0</v>
      </c>
      <c r="B71" s="24">
        <v>46204.0</v>
      </c>
      <c r="C71" s="26" t="s">
        <v>2</v>
      </c>
      <c r="D71" s="26" t="s">
        <v>108</v>
      </c>
      <c r="E71" s="23" t="s">
        <v>110</v>
      </c>
      <c r="F71" s="23" t="s">
        <v>451</v>
      </c>
      <c r="G71" s="26"/>
      <c r="H71" s="26" t="s">
        <v>70</v>
      </c>
      <c r="I71" s="23" t="s">
        <v>99</v>
      </c>
      <c r="J71" s="23" t="s">
        <v>74</v>
      </c>
      <c r="K71" s="27">
        <v>38816.31</v>
      </c>
      <c r="L71" s="27">
        <v>9055.99</v>
      </c>
      <c r="M71" s="27">
        <v>13680.06</v>
      </c>
      <c r="N71" s="27">
        <v>10773.76</v>
      </c>
      <c r="O71" s="27">
        <v>5306.48</v>
      </c>
      <c r="P71" s="27">
        <v>3408.4</v>
      </c>
      <c r="Q71" s="27">
        <v>445.86</v>
      </c>
      <c r="R71" s="27">
        <v>975.07</v>
      </c>
      <c r="S71" s="27">
        <v>709.93</v>
      </c>
      <c r="T71" s="27">
        <v>1277.52</v>
      </c>
      <c r="U71" s="27">
        <v>42224.71</v>
      </c>
      <c r="V71" s="27">
        <v>3125.94</v>
      </c>
      <c r="W71" s="27">
        <v>654.31</v>
      </c>
      <c r="X71" s="27">
        <v>1161.15</v>
      </c>
      <c r="Y71" s="27">
        <v>856.91</v>
      </c>
      <c r="Z71" s="27">
        <v>453.55</v>
      </c>
      <c r="AA71" s="27">
        <v>609.75</v>
      </c>
      <c r="AB71" s="27">
        <v>181.3</v>
      </c>
      <c r="AC71" s="27">
        <v>230.3</v>
      </c>
      <c r="AD71" s="27">
        <v>161.02</v>
      </c>
      <c r="AE71" s="27">
        <v>37.12</v>
      </c>
      <c r="AF71" s="27">
        <v>3735.69</v>
      </c>
      <c r="AG71" s="27"/>
      <c r="AH71" s="27"/>
      <c r="AI71" s="27"/>
      <c r="AJ71" s="27"/>
    </row>
    <row r="72" ht="25.5" customHeight="1">
      <c r="A72" s="23">
        <v>69.0</v>
      </c>
      <c r="B72" s="24">
        <v>46204.0</v>
      </c>
      <c r="C72" s="26" t="s">
        <v>2</v>
      </c>
      <c r="D72" s="26" t="s">
        <v>427</v>
      </c>
      <c r="E72" s="23" t="s">
        <v>431</v>
      </c>
      <c r="F72" s="23" t="s">
        <v>455</v>
      </c>
      <c r="G72" s="26"/>
      <c r="H72" s="26" t="s">
        <v>70</v>
      </c>
      <c r="I72" s="23" t="s">
        <v>456</v>
      </c>
      <c r="J72" s="23" t="s">
        <v>74</v>
      </c>
      <c r="K72" s="27">
        <v>943.93</v>
      </c>
      <c r="L72" s="27">
        <v>239.98</v>
      </c>
      <c r="M72" s="27">
        <v>309.5</v>
      </c>
      <c r="N72" s="27">
        <v>259.3</v>
      </c>
      <c r="O72" s="27">
        <v>135.14</v>
      </c>
      <c r="P72" s="27">
        <v>0.0</v>
      </c>
      <c r="Q72" s="27">
        <v>0.0</v>
      </c>
      <c r="R72" s="27">
        <v>0.0</v>
      </c>
      <c r="S72" s="27">
        <v>0.0</v>
      </c>
      <c r="T72" s="27">
        <v>0.0</v>
      </c>
      <c r="U72" s="27">
        <v>943.93</v>
      </c>
      <c r="V72" s="27">
        <v>57.63</v>
      </c>
      <c r="W72" s="27">
        <v>10.21</v>
      </c>
      <c r="X72" s="27">
        <v>17.83</v>
      </c>
      <c r="Y72" s="27">
        <v>15.21</v>
      </c>
      <c r="Z72" s="27">
        <v>14.37</v>
      </c>
      <c r="AA72" s="27">
        <v>1.88</v>
      </c>
      <c r="AB72" s="27">
        <v>0.45</v>
      </c>
      <c r="AC72" s="27">
        <v>0.36</v>
      </c>
      <c r="AD72" s="27">
        <v>0.39</v>
      </c>
      <c r="AE72" s="27">
        <v>0.66</v>
      </c>
      <c r="AF72" s="27">
        <v>59.51</v>
      </c>
      <c r="AG72" s="27"/>
      <c r="AH72" s="27"/>
      <c r="AI72" s="27"/>
      <c r="AJ72" s="27"/>
    </row>
    <row r="73" ht="25.5" customHeight="1">
      <c r="A73" s="23">
        <v>70.0</v>
      </c>
      <c r="B73" s="24">
        <v>46204.0</v>
      </c>
      <c r="C73" s="26" t="s">
        <v>2</v>
      </c>
      <c r="D73" s="26" t="s">
        <v>337</v>
      </c>
      <c r="E73" s="23" t="s">
        <v>338</v>
      </c>
      <c r="F73" s="23" t="s">
        <v>460</v>
      </c>
      <c r="G73" s="26"/>
      <c r="H73" s="26" t="s">
        <v>70</v>
      </c>
      <c r="I73" s="23" t="s">
        <v>107</v>
      </c>
      <c r="J73" s="23" t="s">
        <v>74</v>
      </c>
      <c r="K73" s="27">
        <v>14487.64</v>
      </c>
      <c r="L73" s="27">
        <v>3139.58</v>
      </c>
      <c r="M73" s="27">
        <v>4955.25</v>
      </c>
      <c r="N73" s="27">
        <v>4038.87</v>
      </c>
      <c r="O73" s="27">
        <v>2353.92</v>
      </c>
      <c r="P73" s="27">
        <v>28.12</v>
      </c>
      <c r="Q73" s="27">
        <v>0.0</v>
      </c>
      <c r="R73" s="27">
        <v>1.79</v>
      </c>
      <c r="S73" s="27">
        <v>26.32</v>
      </c>
      <c r="T73" s="27">
        <v>0.0</v>
      </c>
      <c r="U73" s="27">
        <v>14515.76</v>
      </c>
      <c r="V73" s="27">
        <v>1391.98</v>
      </c>
      <c r="W73" s="27">
        <v>270.74</v>
      </c>
      <c r="X73" s="27">
        <v>488.68</v>
      </c>
      <c r="Y73" s="27">
        <v>400.76</v>
      </c>
      <c r="Z73" s="27">
        <v>231.78</v>
      </c>
      <c r="AA73" s="27">
        <v>154.27</v>
      </c>
      <c r="AB73" s="27">
        <v>49.57</v>
      </c>
      <c r="AC73" s="27">
        <v>35.88</v>
      </c>
      <c r="AD73" s="27">
        <v>28.12</v>
      </c>
      <c r="AE73" s="27">
        <v>40.68</v>
      </c>
      <c r="AF73" s="27">
        <v>1546.25</v>
      </c>
      <c r="AG73" s="27"/>
      <c r="AH73" s="27"/>
      <c r="AI73" s="27"/>
      <c r="AJ73" s="27"/>
    </row>
    <row r="74" ht="25.5" customHeight="1">
      <c r="A74" s="23">
        <v>71.0</v>
      </c>
      <c r="B74" s="24">
        <v>46204.0</v>
      </c>
      <c r="C74" s="26" t="s">
        <v>2</v>
      </c>
      <c r="D74" s="26" t="s">
        <v>465</v>
      </c>
      <c r="E74" s="23" t="s">
        <v>466</v>
      </c>
      <c r="F74" s="23" t="s">
        <v>467</v>
      </c>
      <c r="G74" s="26"/>
      <c r="H74" s="26" t="s">
        <v>70</v>
      </c>
      <c r="I74" s="23" t="s">
        <v>107</v>
      </c>
      <c r="J74" s="23" t="s">
        <v>74</v>
      </c>
      <c r="K74" s="27">
        <v>8214.35</v>
      </c>
      <c r="L74" s="27">
        <v>1568.24</v>
      </c>
      <c r="M74" s="27">
        <v>3118.04</v>
      </c>
      <c r="N74" s="27">
        <v>2471.51</v>
      </c>
      <c r="O74" s="27">
        <v>1056.54</v>
      </c>
      <c r="P74" s="27">
        <v>0.02</v>
      </c>
      <c r="Q74" s="27">
        <v>0.0</v>
      </c>
      <c r="R74" s="27">
        <v>0.02</v>
      </c>
      <c r="S74" s="27">
        <v>0.0</v>
      </c>
      <c r="T74" s="27">
        <v>0.0</v>
      </c>
      <c r="U74" s="27">
        <v>8214.37</v>
      </c>
      <c r="V74" s="27">
        <v>2019.69</v>
      </c>
      <c r="W74" s="27">
        <v>174.28</v>
      </c>
      <c r="X74" s="27">
        <v>1058.31</v>
      </c>
      <c r="Y74" s="27">
        <v>716.67</v>
      </c>
      <c r="Z74" s="27">
        <v>70.41</v>
      </c>
      <c r="AA74" s="27">
        <v>58.5</v>
      </c>
      <c r="AB74" s="27">
        <v>20.86</v>
      </c>
      <c r="AC74" s="27">
        <v>12.87</v>
      </c>
      <c r="AD74" s="27">
        <v>12.16</v>
      </c>
      <c r="AE74" s="27">
        <v>12.59</v>
      </c>
      <c r="AF74" s="27">
        <v>2078.19</v>
      </c>
      <c r="AG74" s="27"/>
      <c r="AH74" s="27"/>
      <c r="AI74" s="27"/>
      <c r="AJ74" s="27"/>
    </row>
    <row r="75" ht="25.5" customHeight="1">
      <c r="A75" s="23">
        <v>72.0</v>
      </c>
      <c r="B75" s="24">
        <v>46204.0</v>
      </c>
      <c r="C75" s="26" t="s">
        <v>2</v>
      </c>
      <c r="D75" s="26" t="s">
        <v>472</v>
      </c>
      <c r="E75" s="23" t="s">
        <v>473</v>
      </c>
      <c r="F75" s="23" t="s">
        <v>474</v>
      </c>
      <c r="G75" s="26"/>
      <c r="H75" s="26" t="s">
        <v>70</v>
      </c>
      <c r="I75" s="23" t="s">
        <v>107</v>
      </c>
      <c r="J75" s="23" t="s">
        <v>74</v>
      </c>
      <c r="K75" s="27">
        <v>9058.5</v>
      </c>
      <c r="L75" s="27">
        <v>1935.22</v>
      </c>
      <c r="M75" s="27">
        <v>3345.27</v>
      </c>
      <c r="N75" s="27">
        <v>2580.03</v>
      </c>
      <c r="O75" s="27">
        <v>1197.96</v>
      </c>
      <c r="P75" s="27">
        <v>2439.05</v>
      </c>
      <c r="Q75" s="27">
        <v>466.12</v>
      </c>
      <c r="R75" s="27">
        <v>1013.42</v>
      </c>
      <c r="S75" s="27">
        <v>712.77</v>
      </c>
      <c r="T75" s="27">
        <v>246.73</v>
      </c>
      <c r="U75" s="27">
        <v>11497.55</v>
      </c>
      <c r="V75" s="27">
        <v>4261.11</v>
      </c>
      <c r="W75" s="27">
        <v>793.98</v>
      </c>
      <c r="X75" s="27">
        <v>1679.09</v>
      </c>
      <c r="Y75" s="27">
        <v>1237.33</v>
      </c>
      <c r="Z75" s="27">
        <v>550.7</v>
      </c>
      <c r="AA75" s="27">
        <v>554.19</v>
      </c>
      <c r="AB75" s="27">
        <v>137.89</v>
      </c>
      <c r="AC75" s="27">
        <v>154.49</v>
      </c>
      <c r="AD75" s="27">
        <v>167.85</v>
      </c>
      <c r="AE75" s="27">
        <v>93.95</v>
      </c>
      <c r="AF75" s="27">
        <v>4815.3</v>
      </c>
      <c r="AG75" s="27"/>
      <c r="AH75" s="27"/>
      <c r="AI75" s="27"/>
      <c r="AJ75" s="27"/>
    </row>
    <row r="76" ht="25.5" customHeight="1">
      <c r="A76" s="23">
        <v>73.0</v>
      </c>
      <c r="B76" s="24">
        <v>46204.0</v>
      </c>
      <c r="C76" s="26" t="s">
        <v>2</v>
      </c>
      <c r="D76" s="26" t="s">
        <v>479</v>
      </c>
      <c r="E76" s="23" t="s">
        <v>480</v>
      </c>
      <c r="F76" s="23" t="s">
        <v>481</v>
      </c>
      <c r="G76" s="26"/>
      <c r="H76" s="26" t="s">
        <v>70</v>
      </c>
      <c r="I76" s="23" t="s">
        <v>72</v>
      </c>
      <c r="J76" s="23" t="s">
        <v>74</v>
      </c>
      <c r="K76" s="27">
        <v>2326.35</v>
      </c>
      <c r="L76" s="27">
        <v>313.84</v>
      </c>
      <c r="M76" s="27">
        <v>624.66</v>
      </c>
      <c r="N76" s="27">
        <v>578.56</v>
      </c>
      <c r="O76" s="27">
        <v>809.27</v>
      </c>
      <c r="P76" s="27">
        <v>2034.95</v>
      </c>
      <c r="Q76" s="27">
        <v>249.14</v>
      </c>
      <c r="R76" s="27">
        <v>614.39</v>
      </c>
      <c r="S76" s="27">
        <v>490.55</v>
      </c>
      <c r="T76" s="27">
        <v>680.85</v>
      </c>
      <c r="U76" s="27">
        <v>4361.3</v>
      </c>
      <c r="V76" s="27">
        <v>14.12</v>
      </c>
      <c r="W76" s="27">
        <v>1.01</v>
      </c>
      <c r="X76" s="27">
        <v>12.87</v>
      </c>
      <c r="Y76" s="27">
        <v>0.21</v>
      </c>
      <c r="Z76" s="27">
        <v>0.01</v>
      </c>
      <c r="AA76" s="27">
        <v>3606.1</v>
      </c>
      <c r="AB76" s="27">
        <v>448.9</v>
      </c>
      <c r="AC76" s="27">
        <v>1034.06</v>
      </c>
      <c r="AD76" s="27">
        <v>956.31</v>
      </c>
      <c r="AE76" s="27">
        <v>1166.81</v>
      </c>
      <c r="AF76" s="27">
        <v>3620.22</v>
      </c>
      <c r="AG76" s="27"/>
      <c r="AH76" s="27"/>
      <c r="AI76" s="27"/>
      <c r="AJ76" s="27"/>
    </row>
    <row r="77" ht="25.5" customHeight="1">
      <c r="A77" s="23">
        <v>74.0</v>
      </c>
      <c r="B77" s="24">
        <v>46204.0</v>
      </c>
      <c r="C77" s="26" t="s">
        <v>2</v>
      </c>
      <c r="D77" s="26" t="s">
        <v>111</v>
      </c>
      <c r="E77" s="23" t="s">
        <v>116</v>
      </c>
      <c r="F77" s="23" t="s">
        <v>485</v>
      </c>
      <c r="G77" s="26"/>
      <c r="H77" s="26" t="s">
        <v>70</v>
      </c>
      <c r="I77" s="23" t="s">
        <v>107</v>
      </c>
      <c r="J77" s="23" t="s">
        <v>74</v>
      </c>
      <c r="K77" s="27">
        <v>233.42</v>
      </c>
      <c r="L77" s="27">
        <v>34.75</v>
      </c>
      <c r="M77" s="27">
        <v>116.82</v>
      </c>
      <c r="N77" s="27">
        <v>66.22</v>
      </c>
      <c r="O77" s="27">
        <v>15.61</v>
      </c>
      <c r="P77" s="27">
        <v>1956.18</v>
      </c>
      <c r="Q77" s="27">
        <v>401.31</v>
      </c>
      <c r="R77" s="27">
        <v>662.68</v>
      </c>
      <c r="S77" s="27">
        <v>523.01</v>
      </c>
      <c r="T77" s="27">
        <v>369.17</v>
      </c>
      <c r="U77" s="27">
        <v>2189.6</v>
      </c>
      <c r="V77" s="27">
        <v>1475.57</v>
      </c>
      <c r="W77" s="27">
        <v>189.65</v>
      </c>
      <c r="X77" s="27">
        <v>409.51</v>
      </c>
      <c r="Y77" s="27">
        <v>366.64</v>
      </c>
      <c r="Z77" s="27">
        <v>509.76</v>
      </c>
      <c r="AA77" s="27">
        <v>1838.68</v>
      </c>
      <c r="AB77" s="27">
        <v>491.06</v>
      </c>
      <c r="AC77" s="27">
        <v>698.88</v>
      </c>
      <c r="AD77" s="27">
        <v>549.38</v>
      </c>
      <c r="AE77" s="27">
        <v>99.34</v>
      </c>
      <c r="AF77" s="27">
        <v>3314.25</v>
      </c>
      <c r="AG77" s="27"/>
      <c r="AH77" s="27"/>
      <c r="AI77" s="27"/>
      <c r="AJ77" s="27"/>
    </row>
    <row r="78" ht="25.5" customHeight="1">
      <c r="A78" s="23">
        <v>75.0</v>
      </c>
      <c r="B78" s="24">
        <v>46204.0</v>
      </c>
      <c r="C78" s="26" t="s">
        <v>2</v>
      </c>
      <c r="D78" s="26" t="s">
        <v>489</v>
      </c>
      <c r="E78" s="23" t="s">
        <v>490</v>
      </c>
      <c r="F78" s="23" t="s">
        <v>491</v>
      </c>
      <c r="G78" s="26"/>
      <c r="H78" s="26" t="s">
        <v>70</v>
      </c>
      <c r="I78" s="23" t="s">
        <v>72</v>
      </c>
      <c r="J78" s="23" t="s">
        <v>74</v>
      </c>
      <c r="K78" s="27">
        <v>5590.1</v>
      </c>
      <c r="L78" s="27">
        <v>1286.99</v>
      </c>
      <c r="M78" s="27">
        <v>2135.04</v>
      </c>
      <c r="N78" s="27">
        <v>1695.2</v>
      </c>
      <c r="O78" s="27">
        <v>472.85</v>
      </c>
      <c r="P78" s="27">
        <v>108.51</v>
      </c>
      <c r="Q78" s="27">
        <v>17.12</v>
      </c>
      <c r="R78" s="27">
        <v>30.73</v>
      </c>
      <c r="S78" s="27">
        <v>34.34</v>
      </c>
      <c r="T78" s="27">
        <v>26.31</v>
      </c>
      <c r="U78" s="27">
        <v>5698.61</v>
      </c>
      <c r="V78" s="27">
        <v>423.58</v>
      </c>
      <c r="W78" s="27">
        <v>90.73</v>
      </c>
      <c r="X78" s="27">
        <v>152.13</v>
      </c>
      <c r="Y78" s="27">
        <v>167.74</v>
      </c>
      <c r="Z78" s="27">
        <v>12.96</v>
      </c>
      <c r="AA78" s="27">
        <v>191.49</v>
      </c>
      <c r="AB78" s="27">
        <v>53.55</v>
      </c>
      <c r="AC78" s="27">
        <v>56.42</v>
      </c>
      <c r="AD78" s="27">
        <v>43.38</v>
      </c>
      <c r="AE78" s="27">
        <v>38.13</v>
      </c>
      <c r="AF78" s="27">
        <v>615.07</v>
      </c>
      <c r="AG78" s="27"/>
      <c r="AH78" s="27"/>
      <c r="AI78" s="27"/>
      <c r="AJ78" s="27"/>
    </row>
    <row r="79" ht="25.5" customHeight="1">
      <c r="A79" s="23">
        <v>76.0</v>
      </c>
      <c r="B79" s="24">
        <v>46204.0</v>
      </c>
      <c r="C79" s="26" t="s">
        <v>2</v>
      </c>
      <c r="D79" s="26" t="s">
        <v>492</v>
      </c>
      <c r="E79" s="23" t="s">
        <v>493</v>
      </c>
      <c r="F79" s="23" t="s">
        <v>494</v>
      </c>
      <c r="G79" s="26"/>
      <c r="H79" s="26" t="s">
        <v>70</v>
      </c>
      <c r="I79" s="23" t="s">
        <v>72</v>
      </c>
      <c r="J79" s="23" t="s">
        <v>74</v>
      </c>
      <c r="K79" s="27">
        <v>27851.45</v>
      </c>
      <c r="L79" s="27">
        <v>5490.78</v>
      </c>
      <c r="M79" s="27">
        <v>10689.96</v>
      </c>
      <c r="N79" s="27">
        <v>7642.32</v>
      </c>
      <c r="O79" s="27">
        <v>4028.38</v>
      </c>
      <c r="P79" s="27">
        <v>562.23</v>
      </c>
      <c r="Q79" s="27">
        <v>38.85</v>
      </c>
      <c r="R79" s="27">
        <v>98.62</v>
      </c>
      <c r="S79" s="27">
        <v>424.74</v>
      </c>
      <c r="T79" s="27">
        <v>0.0</v>
      </c>
      <c r="U79" s="27">
        <v>28413.68</v>
      </c>
      <c r="V79" s="27">
        <v>3497.82</v>
      </c>
      <c r="W79" s="27">
        <v>595.91</v>
      </c>
      <c r="X79" s="27">
        <v>1356.03</v>
      </c>
      <c r="Y79" s="27">
        <v>1180.69</v>
      </c>
      <c r="Z79" s="27">
        <v>365.17</v>
      </c>
      <c r="AA79" s="27">
        <v>97.51</v>
      </c>
      <c r="AB79" s="27">
        <v>27.91</v>
      </c>
      <c r="AC79" s="27">
        <v>20.65</v>
      </c>
      <c r="AD79" s="27">
        <v>23.63</v>
      </c>
      <c r="AE79" s="27">
        <v>25.31</v>
      </c>
      <c r="AF79" s="27">
        <v>3595.33</v>
      </c>
      <c r="AG79" s="27"/>
      <c r="AH79" s="27"/>
      <c r="AI79" s="27"/>
      <c r="AJ79" s="27"/>
    </row>
    <row r="80" ht="25.5" customHeight="1">
      <c r="A80" s="23">
        <v>77.0</v>
      </c>
      <c r="B80" s="24">
        <v>46204.0</v>
      </c>
      <c r="C80" s="26" t="s">
        <v>2</v>
      </c>
      <c r="D80" s="26" t="s">
        <v>498</v>
      </c>
      <c r="E80" s="23" t="s">
        <v>500</v>
      </c>
      <c r="F80" s="23" t="s">
        <v>501</v>
      </c>
      <c r="G80" s="26"/>
      <c r="H80" s="26" t="s">
        <v>70</v>
      </c>
      <c r="I80" s="23" t="s">
        <v>107</v>
      </c>
      <c r="J80" s="23" t="s">
        <v>74</v>
      </c>
      <c r="K80" s="27">
        <v>14074.82</v>
      </c>
      <c r="L80" s="27">
        <v>2855.12</v>
      </c>
      <c r="M80" s="27">
        <v>4815.06</v>
      </c>
      <c r="N80" s="27">
        <v>4016.32</v>
      </c>
      <c r="O80" s="27">
        <v>2388.31</v>
      </c>
      <c r="P80" s="27">
        <v>0.0</v>
      </c>
      <c r="Q80" s="27">
        <v>0.0</v>
      </c>
      <c r="R80" s="27">
        <v>0.0</v>
      </c>
      <c r="S80" s="27">
        <v>0.0</v>
      </c>
      <c r="T80" s="27">
        <v>0.0</v>
      </c>
      <c r="U80" s="27">
        <v>14074.82</v>
      </c>
      <c r="V80" s="27">
        <v>2995.42</v>
      </c>
      <c r="W80" s="27">
        <v>278.81</v>
      </c>
      <c r="X80" s="27">
        <v>1218.41</v>
      </c>
      <c r="Y80" s="27">
        <v>1110.2</v>
      </c>
      <c r="Z80" s="27">
        <v>387.97</v>
      </c>
      <c r="AA80" s="27">
        <v>219.42</v>
      </c>
      <c r="AB80" s="27">
        <v>62.37</v>
      </c>
      <c r="AC80" s="27">
        <v>50.48</v>
      </c>
      <c r="AD80" s="27">
        <v>43.02</v>
      </c>
      <c r="AE80" s="27">
        <v>63.54</v>
      </c>
      <c r="AF80" s="27">
        <v>3214.84</v>
      </c>
      <c r="AG80" s="27"/>
      <c r="AH80" s="27"/>
      <c r="AI80" s="27"/>
      <c r="AJ80" s="27"/>
    </row>
    <row r="81" ht="25.5" customHeight="1">
      <c r="A81" s="23">
        <v>78.0</v>
      </c>
      <c r="B81" s="24">
        <v>46204.0</v>
      </c>
      <c r="C81" s="26" t="s">
        <v>2</v>
      </c>
      <c r="D81" s="26" t="s">
        <v>503</v>
      </c>
      <c r="E81" s="23" t="s">
        <v>504</v>
      </c>
      <c r="F81" s="23" t="s">
        <v>505</v>
      </c>
      <c r="G81" s="26"/>
      <c r="H81" s="26" t="s">
        <v>70</v>
      </c>
      <c r="I81" s="23" t="s">
        <v>72</v>
      </c>
      <c r="J81" s="23" t="s">
        <v>74</v>
      </c>
      <c r="K81" s="27">
        <v>8391.59</v>
      </c>
      <c r="L81" s="27">
        <v>1534.95</v>
      </c>
      <c r="M81" s="27">
        <v>2769.13</v>
      </c>
      <c r="N81" s="27">
        <v>2217.46</v>
      </c>
      <c r="O81" s="27">
        <v>1870.04</v>
      </c>
      <c r="P81" s="27">
        <v>3.17</v>
      </c>
      <c r="Q81" s="27">
        <v>0.65</v>
      </c>
      <c r="R81" s="27">
        <v>1.0</v>
      </c>
      <c r="S81" s="27">
        <v>0.76</v>
      </c>
      <c r="T81" s="27">
        <v>0.74</v>
      </c>
      <c r="U81" s="27">
        <v>8394.76</v>
      </c>
      <c r="V81" s="27">
        <v>865.07</v>
      </c>
      <c r="W81" s="27">
        <v>105.91</v>
      </c>
      <c r="X81" s="27">
        <v>404.5</v>
      </c>
      <c r="Y81" s="27">
        <v>257.09</v>
      </c>
      <c r="Z81" s="27">
        <v>97.55</v>
      </c>
      <c r="AA81" s="27">
        <v>173.16</v>
      </c>
      <c r="AB81" s="27">
        <v>27.88</v>
      </c>
      <c r="AC81" s="27">
        <v>35.05</v>
      </c>
      <c r="AD81" s="27">
        <v>47.79</v>
      </c>
      <c r="AE81" s="27">
        <v>62.44</v>
      </c>
      <c r="AF81" s="27">
        <v>1038.23</v>
      </c>
      <c r="AG81" s="27"/>
      <c r="AH81" s="27"/>
      <c r="AI81" s="27"/>
      <c r="AJ81" s="27"/>
    </row>
    <row r="82" ht="25.5" customHeight="1">
      <c r="A82" s="23">
        <v>79.0</v>
      </c>
      <c r="B82" s="24">
        <v>46204.0</v>
      </c>
      <c r="C82" s="26" t="s">
        <v>2</v>
      </c>
      <c r="D82" s="26" t="s">
        <v>120</v>
      </c>
      <c r="E82" s="23" t="s">
        <v>126</v>
      </c>
      <c r="F82" s="23" t="s">
        <v>510</v>
      </c>
      <c r="G82" s="26"/>
      <c r="H82" s="26" t="s">
        <v>70</v>
      </c>
      <c r="I82" s="23" t="s">
        <v>81</v>
      </c>
      <c r="J82" s="23" t="s">
        <v>74</v>
      </c>
      <c r="K82" s="27">
        <v>13105.6</v>
      </c>
      <c r="L82" s="27">
        <v>2355.94</v>
      </c>
      <c r="M82" s="27">
        <v>4751.4</v>
      </c>
      <c r="N82" s="27">
        <v>3808.0</v>
      </c>
      <c r="O82" s="27">
        <v>2190.25</v>
      </c>
      <c r="P82" s="27">
        <v>0.0</v>
      </c>
      <c r="Q82" s="27">
        <v>0.0</v>
      </c>
      <c r="R82" s="27">
        <v>0.0</v>
      </c>
      <c r="S82" s="27">
        <v>0.0</v>
      </c>
      <c r="T82" s="27">
        <v>0.0</v>
      </c>
      <c r="U82" s="27">
        <v>13105.6</v>
      </c>
      <c r="V82" s="27">
        <v>4133.34</v>
      </c>
      <c r="W82" s="27">
        <v>539.66</v>
      </c>
      <c r="X82" s="27">
        <v>1668.43</v>
      </c>
      <c r="Y82" s="27">
        <v>1318.71</v>
      </c>
      <c r="Z82" s="27">
        <v>606.53</v>
      </c>
      <c r="AA82" s="27">
        <v>32.47</v>
      </c>
      <c r="AB82" s="27">
        <v>9.22</v>
      </c>
      <c r="AC82" s="27">
        <v>4.21</v>
      </c>
      <c r="AD82" s="27">
        <v>6.18</v>
      </c>
      <c r="AE82" s="27">
        <v>12.84</v>
      </c>
      <c r="AF82" s="27">
        <v>4165.81</v>
      </c>
      <c r="AG82" s="27"/>
      <c r="AH82" s="27"/>
      <c r="AI82" s="27"/>
      <c r="AJ82" s="27"/>
    </row>
    <row r="83" ht="25.5" customHeight="1">
      <c r="A83" s="23">
        <v>80.0</v>
      </c>
      <c r="B83" s="24">
        <v>46204.0</v>
      </c>
      <c r="C83" s="26" t="s">
        <v>2</v>
      </c>
      <c r="D83" s="26" t="s">
        <v>513</v>
      </c>
      <c r="E83" s="23" t="s">
        <v>514</v>
      </c>
      <c r="F83" s="23" t="s">
        <v>515</v>
      </c>
      <c r="G83" s="26"/>
      <c r="H83" s="26" t="s">
        <v>70</v>
      </c>
      <c r="I83" s="23" t="s">
        <v>107</v>
      </c>
      <c r="J83" s="23" t="s">
        <v>74</v>
      </c>
      <c r="K83" s="27">
        <v>23165.96</v>
      </c>
      <c r="L83" s="27">
        <v>4944.82</v>
      </c>
      <c r="M83" s="27">
        <v>8185.06</v>
      </c>
      <c r="N83" s="27">
        <v>6753.95</v>
      </c>
      <c r="O83" s="27">
        <v>3282.12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23165.96</v>
      </c>
      <c r="V83" s="27">
        <v>802.21</v>
      </c>
      <c r="W83" s="27">
        <v>131.21</v>
      </c>
      <c r="X83" s="27">
        <v>325.34</v>
      </c>
      <c r="Y83" s="27">
        <v>256.4</v>
      </c>
      <c r="Z83" s="27">
        <v>89.25</v>
      </c>
      <c r="AA83" s="27">
        <v>351.66</v>
      </c>
      <c r="AB83" s="27">
        <v>110.4</v>
      </c>
      <c r="AC83" s="27">
        <v>95.78</v>
      </c>
      <c r="AD83" s="27">
        <v>78.84</v>
      </c>
      <c r="AE83" s="27">
        <v>66.62</v>
      </c>
      <c r="AF83" s="27">
        <v>1153.87</v>
      </c>
      <c r="AG83" s="27"/>
      <c r="AH83" s="27"/>
      <c r="AI83" s="27"/>
      <c r="AJ83" s="27"/>
    </row>
    <row r="84" ht="25.5" customHeight="1">
      <c r="A84" s="23">
        <v>81.0</v>
      </c>
      <c r="B84" s="24">
        <v>46204.0</v>
      </c>
      <c r="C84" s="26" t="s">
        <v>2</v>
      </c>
      <c r="D84" s="26" t="s">
        <v>519</v>
      </c>
      <c r="E84" s="23" t="s">
        <v>520</v>
      </c>
      <c r="F84" s="23" t="s">
        <v>521</v>
      </c>
      <c r="G84" s="26"/>
      <c r="H84" s="26" t="s">
        <v>70</v>
      </c>
      <c r="I84" s="23" t="s">
        <v>107</v>
      </c>
      <c r="J84" s="23" t="s">
        <v>74</v>
      </c>
      <c r="K84" s="27">
        <v>13827.06</v>
      </c>
      <c r="L84" s="27">
        <v>2891.95</v>
      </c>
      <c r="M84" s="27">
        <v>4873.54</v>
      </c>
      <c r="N84" s="27">
        <v>4069.68</v>
      </c>
      <c r="O84" s="27">
        <v>1991.88</v>
      </c>
      <c r="P84" s="27">
        <v>0.0</v>
      </c>
      <c r="Q84" s="27">
        <v>0.0</v>
      </c>
      <c r="R84" s="27">
        <v>0.0</v>
      </c>
      <c r="S84" s="27">
        <v>0.0</v>
      </c>
      <c r="T84" s="27">
        <v>0.0</v>
      </c>
      <c r="U84" s="27">
        <v>13827.06</v>
      </c>
      <c r="V84" s="27">
        <v>1629.02</v>
      </c>
      <c r="W84" s="27">
        <v>272.35</v>
      </c>
      <c r="X84" s="27">
        <v>652.91</v>
      </c>
      <c r="Y84" s="27">
        <v>579.98</v>
      </c>
      <c r="Z84" s="27">
        <v>123.77</v>
      </c>
      <c r="AA84" s="27">
        <v>117.92</v>
      </c>
      <c r="AB84" s="27">
        <v>34.37</v>
      </c>
      <c r="AC84" s="27">
        <v>19.78</v>
      </c>
      <c r="AD84" s="27">
        <v>21.2</v>
      </c>
      <c r="AE84" s="27">
        <v>42.56</v>
      </c>
      <c r="AF84" s="27">
        <v>1746.94</v>
      </c>
      <c r="AG84" s="27"/>
      <c r="AH84" s="27"/>
      <c r="AI84" s="27"/>
      <c r="AJ84" s="27"/>
    </row>
    <row r="85" ht="25.5" customHeight="1">
      <c r="A85" s="23">
        <v>82.0</v>
      </c>
      <c r="B85" s="24">
        <v>46204.0</v>
      </c>
      <c r="C85" s="26" t="s">
        <v>2</v>
      </c>
      <c r="D85" s="26" t="s">
        <v>524</v>
      </c>
      <c r="E85" s="23" t="s">
        <v>525</v>
      </c>
      <c r="F85" s="23" t="s">
        <v>527</v>
      </c>
      <c r="G85" s="26"/>
      <c r="H85" s="26" t="s">
        <v>70</v>
      </c>
      <c r="I85" s="23" t="s">
        <v>107</v>
      </c>
      <c r="J85" s="23" t="s">
        <v>74</v>
      </c>
      <c r="K85" s="27">
        <v>483.9</v>
      </c>
      <c r="L85" s="27">
        <v>112.28</v>
      </c>
      <c r="M85" s="27">
        <v>160.34</v>
      </c>
      <c r="N85" s="27">
        <v>150.12</v>
      </c>
      <c r="O85" s="27">
        <v>61.15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483.9</v>
      </c>
      <c r="V85" s="27">
        <v>35.49</v>
      </c>
      <c r="W85" s="27">
        <v>8.14</v>
      </c>
      <c r="X85" s="27">
        <v>11.15</v>
      </c>
      <c r="Y85" s="27">
        <v>14.04</v>
      </c>
      <c r="Z85" s="27">
        <v>2.14</v>
      </c>
      <c r="AA85" s="27">
        <v>4.95</v>
      </c>
      <c r="AB85" s="27">
        <v>2.14</v>
      </c>
      <c r="AC85" s="27">
        <v>0.95</v>
      </c>
      <c r="AD85" s="27">
        <v>0.61</v>
      </c>
      <c r="AE85" s="27">
        <v>1.23</v>
      </c>
      <c r="AF85" s="27">
        <v>40.44</v>
      </c>
      <c r="AG85" s="27"/>
      <c r="AH85" s="27"/>
      <c r="AI85" s="27"/>
      <c r="AJ85" s="27"/>
    </row>
    <row r="86" ht="25.5" customHeight="1">
      <c r="A86" s="23">
        <v>83.0</v>
      </c>
      <c r="B86" s="24">
        <v>46204.0</v>
      </c>
      <c r="C86" s="26" t="s">
        <v>2</v>
      </c>
      <c r="D86" s="26" t="s">
        <v>531</v>
      </c>
      <c r="E86" s="23" t="s">
        <v>532</v>
      </c>
      <c r="F86" s="23" t="s">
        <v>533</v>
      </c>
      <c r="G86" s="26"/>
      <c r="H86" s="26" t="s">
        <v>70</v>
      </c>
      <c r="I86" s="23" t="s">
        <v>107</v>
      </c>
      <c r="J86" s="23" t="s">
        <v>74</v>
      </c>
      <c r="K86" s="27">
        <v>18413.79</v>
      </c>
      <c r="L86" s="27">
        <v>3751.21</v>
      </c>
      <c r="M86" s="27">
        <v>6251.96</v>
      </c>
      <c r="N86" s="27">
        <v>4861.53</v>
      </c>
      <c r="O86" s="27">
        <v>3549.08</v>
      </c>
      <c r="P86" s="27">
        <v>2899.13</v>
      </c>
      <c r="Q86" s="27">
        <v>834.5</v>
      </c>
      <c r="R86" s="27">
        <v>1110.86</v>
      </c>
      <c r="S86" s="27">
        <v>953.76</v>
      </c>
      <c r="T86" s="27">
        <v>0.0</v>
      </c>
      <c r="U86" s="27">
        <v>21312.92</v>
      </c>
      <c r="V86" s="27">
        <v>1586.92</v>
      </c>
      <c r="W86" s="27">
        <v>322.63</v>
      </c>
      <c r="X86" s="27">
        <v>553.7</v>
      </c>
      <c r="Y86" s="27">
        <v>575.44</v>
      </c>
      <c r="Z86" s="27">
        <v>135.14</v>
      </c>
      <c r="AA86" s="27">
        <v>303.33</v>
      </c>
      <c r="AB86" s="27">
        <v>84.62</v>
      </c>
      <c r="AC86" s="27">
        <v>74.11</v>
      </c>
      <c r="AD86" s="27">
        <v>76.64</v>
      </c>
      <c r="AE86" s="27">
        <v>67.94</v>
      </c>
      <c r="AF86" s="27">
        <v>1890.25</v>
      </c>
      <c r="AG86" s="27"/>
      <c r="AH86" s="27"/>
      <c r="AI86" s="27"/>
      <c r="AJ86" s="27"/>
    </row>
    <row r="87" ht="25.5" customHeight="1">
      <c r="A87" s="23">
        <v>84.0</v>
      </c>
      <c r="B87" s="24">
        <v>46204.0</v>
      </c>
      <c r="C87" s="26" t="s">
        <v>2</v>
      </c>
      <c r="D87" s="26" t="s">
        <v>537</v>
      </c>
      <c r="E87" s="23" t="s">
        <v>538</v>
      </c>
      <c r="F87" s="23" t="s">
        <v>540</v>
      </c>
      <c r="G87" s="26"/>
      <c r="H87" s="26" t="s">
        <v>70</v>
      </c>
      <c r="I87" s="23" t="s">
        <v>72</v>
      </c>
      <c r="J87" s="23" t="s">
        <v>74</v>
      </c>
      <c r="K87" s="27">
        <v>28292.29</v>
      </c>
      <c r="L87" s="27">
        <v>6878.11</v>
      </c>
      <c r="M87" s="27">
        <v>9499.26</v>
      </c>
      <c r="N87" s="27">
        <v>7219.78</v>
      </c>
      <c r="O87" s="27">
        <v>4695.12</v>
      </c>
      <c r="P87" s="27">
        <v>94.49</v>
      </c>
      <c r="Q87" s="27">
        <v>0.0</v>
      </c>
      <c r="R87" s="27">
        <v>3.95</v>
      </c>
      <c r="S87" s="27">
        <v>90.53</v>
      </c>
      <c r="T87" s="27">
        <v>0.0</v>
      </c>
      <c r="U87" s="27">
        <v>28386.78</v>
      </c>
      <c r="V87" s="27">
        <v>704.14</v>
      </c>
      <c r="W87" s="27">
        <v>116.45</v>
      </c>
      <c r="X87" s="27">
        <v>346.09</v>
      </c>
      <c r="Y87" s="27">
        <v>185.67</v>
      </c>
      <c r="Z87" s="27">
        <v>55.9</v>
      </c>
      <c r="AA87" s="27">
        <v>594.18</v>
      </c>
      <c r="AB87" s="27">
        <v>163.13</v>
      </c>
      <c r="AC87" s="27">
        <v>140.81</v>
      </c>
      <c r="AD87" s="27">
        <v>150.62</v>
      </c>
      <c r="AE87" s="27">
        <v>139.61</v>
      </c>
      <c r="AF87" s="27">
        <v>1298.32</v>
      </c>
      <c r="AG87" s="27"/>
      <c r="AH87" s="27"/>
      <c r="AI87" s="27"/>
      <c r="AJ87" s="27"/>
    </row>
    <row r="88" ht="25.5" customHeight="1">
      <c r="A88" s="23">
        <v>85.0</v>
      </c>
      <c r="B88" s="24">
        <v>46204.0</v>
      </c>
      <c r="C88" s="26" t="s">
        <v>2</v>
      </c>
      <c r="D88" s="26" t="s">
        <v>543</v>
      </c>
      <c r="E88" s="23" t="s">
        <v>544</v>
      </c>
      <c r="F88" s="23" t="s">
        <v>546</v>
      </c>
      <c r="G88" s="26"/>
      <c r="H88" s="26" t="s">
        <v>70</v>
      </c>
      <c r="I88" s="23" t="s">
        <v>107</v>
      </c>
      <c r="J88" s="23" t="s">
        <v>74</v>
      </c>
      <c r="K88" s="27">
        <v>760.77</v>
      </c>
      <c r="L88" s="27">
        <v>174.16</v>
      </c>
      <c r="M88" s="27">
        <v>260.67</v>
      </c>
      <c r="N88" s="27">
        <v>215.27</v>
      </c>
      <c r="O88" s="27">
        <v>110.66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760.77</v>
      </c>
      <c r="V88" s="27">
        <v>31.1</v>
      </c>
      <c r="W88" s="27">
        <v>7.34</v>
      </c>
      <c r="X88" s="27">
        <v>11.27</v>
      </c>
      <c r="Y88" s="27">
        <v>10.18</v>
      </c>
      <c r="Z88" s="27">
        <v>2.29</v>
      </c>
      <c r="AA88" s="27">
        <v>11.86</v>
      </c>
      <c r="AB88" s="27">
        <v>3.21</v>
      </c>
      <c r="AC88" s="27">
        <v>2.76</v>
      </c>
      <c r="AD88" s="27">
        <v>2.25</v>
      </c>
      <c r="AE88" s="27">
        <v>3.62</v>
      </c>
      <c r="AF88" s="27">
        <v>42.96</v>
      </c>
      <c r="AG88" s="27"/>
      <c r="AH88" s="27"/>
      <c r="AI88" s="27"/>
      <c r="AJ88" s="27"/>
    </row>
    <row r="89" ht="25.5" customHeight="1">
      <c r="A89" s="23">
        <v>86.0</v>
      </c>
      <c r="B89" s="24">
        <v>46204.0</v>
      </c>
      <c r="C89" s="26" t="s">
        <v>2</v>
      </c>
      <c r="D89" s="26" t="s">
        <v>94</v>
      </c>
      <c r="E89" s="23" t="s">
        <v>95</v>
      </c>
      <c r="F89" s="23" t="s">
        <v>550</v>
      </c>
      <c r="G89" s="26"/>
      <c r="H89" s="26" t="s">
        <v>70</v>
      </c>
      <c r="I89" s="23" t="s">
        <v>107</v>
      </c>
      <c r="J89" s="23" t="s">
        <v>74</v>
      </c>
      <c r="K89" s="27">
        <v>1416.48</v>
      </c>
      <c r="L89" s="27">
        <v>406.37</v>
      </c>
      <c r="M89" s="27">
        <v>578.84</v>
      </c>
      <c r="N89" s="27">
        <v>427.71</v>
      </c>
      <c r="O89" s="27">
        <v>3.55</v>
      </c>
      <c r="P89" s="27">
        <v>6692.88</v>
      </c>
      <c r="Q89" s="27">
        <v>1219.65</v>
      </c>
      <c r="R89" s="27">
        <v>2049.0</v>
      </c>
      <c r="S89" s="27">
        <v>1799.7</v>
      </c>
      <c r="T89" s="27">
        <v>1624.51</v>
      </c>
      <c r="U89" s="27">
        <v>8109.36</v>
      </c>
      <c r="V89" s="27">
        <v>318.83</v>
      </c>
      <c r="W89" s="27">
        <v>73.73</v>
      </c>
      <c r="X89" s="27">
        <v>124.99</v>
      </c>
      <c r="Y89" s="27">
        <v>111.58</v>
      </c>
      <c r="Z89" s="27">
        <v>8.52</v>
      </c>
      <c r="AA89" s="27">
        <v>706.72</v>
      </c>
      <c r="AB89" s="27">
        <v>131.84</v>
      </c>
      <c r="AC89" s="27">
        <v>235.69</v>
      </c>
      <c r="AD89" s="27">
        <v>194.37</v>
      </c>
      <c r="AE89" s="27">
        <v>144.8</v>
      </c>
      <c r="AF89" s="27">
        <v>1025.55</v>
      </c>
      <c r="AG89" s="27"/>
      <c r="AH89" s="27"/>
      <c r="AI89" s="27"/>
      <c r="AJ89" s="27"/>
    </row>
    <row r="90" ht="25.5" customHeight="1">
      <c r="A90" s="23">
        <v>87.0</v>
      </c>
      <c r="B90" s="24">
        <v>46204.0</v>
      </c>
      <c r="C90" s="26" t="s">
        <v>2</v>
      </c>
      <c r="D90" s="26" t="s">
        <v>553</v>
      </c>
      <c r="E90" s="23" t="s">
        <v>554</v>
      </c>
      <c r="F90" s="23" t="s">
        <v>555</v>
      </c>
      <c r="G90" s="26"/>
      <c r="H90" s="26" t="s">
        <v>70</v>
      </c>
      <c r="I90" s="23" t="s">
        <v>107</v>
      </c>
      <c r="J90" s="23" t="s">
        <v>74</v>
      </c>
      <c r="K90" s="27">
        <v>18615.17</v>
      </c>
      <c r="L90" s="27">
        <v>4393.98</v>
      </c>
      <c r="M90" s="27">
        <v>6124.71</v>
      </c>
      <c r="N90" s="27">
        <v>5161.05</v>
      </c>
      <c r="O90" s="27">
        <v>2935.41</v>
      </c>
      <c r="P90" s="27">
        <v>0.75</v>
      </c>
      <c r="Q90" s="27">
        <v>0.24</v>
      </c>
      <c r="R90" s="27">
        <v>0.28</v>
      </c>
      <c r="S90" s="27">
        <v>0.22</v>
      </c>
      <c r="T90" s="27">
        <v>0.0</v>
      </c>
      <c r="U90" s="27">
        <v>18615.92</v>
      </c>
      <c r="V90" s="27">
        <v>1183.01</v>
      </c>
      <c r="W90" s="27">
        <v>178.68</v>
      </c>
      <c r="X90" s="27">
        <v>360.4</v>
      </c>
      <c r="Y90" s="27">
        <v>340.82</v>
      </c>
      <c r="Z90" s="27">
        <v>303.09</v>
      </c>
      <c r="AA90" s="27">
        <v>2386.76</v>
      </c>
      <c r="AB90" s="27">
        <v>480.09</v>
      </c>
      <c r="AC90" s="27">
        <v>668.38</v>
      </c>
      <c r="AD90" s="27">
        <v>694.64</v>
      </c>
      <c r="AE90" s="27">
        <v>543.64</v>
      </c>
      <c r="AF90" s="27">
        <v>3569.77</v>
      </c>
      <c r="AG90" s="27"/>
      <c r="AH90" s="27"/>
      <c r="AI90" s="27"/>
      <c r="AJ90" s="27"/>
    </row>
    <row r="91" ht="25.5" customHeight="1">
      <c r="A91" s="23">
        <v>88.0</v>
      </c>
      <c r="B91" s="24">
        <v>46204.0</v>
      </c>
      <c r="C91" s="26" t="s">
        <v>2</v>
      </c>
      <c r="D91" s="26" t="s">
        <v>100</v>
      </c>
      <c r="E91" s="23" t="s">
        <v>101</v>
      </c>
      <c r="F91" s="23" t="s">
        <v>558</v>
      </c>
      <c r="G91" s="26"/>
      <c r="H91" s="26" t="s">
        <v>70</v>
      </c>
      <c r="I91" s="23" t="s">
        <v>72</v>
      </c>
      <c r="J91" s="23" t="s">
        <v>74</v>
      </c>
      <c r="K91" s="27">
        <v>27091.45</v>
      </c>
      <c r="L91" s="27">
        <v>5722.17</v>
      </c>
      <c r="M91" s="27">
        <v>8549.47</v>
      </c>
      <c r="N91" s="27">
        <v>7145.86</v>
      </c>
      <c r="O91" s="27">
        <v>5673.93</v>
      </c>
      <c r="P91" s="27">
        <v>1.68</v>
      </c>
      <c r="Q91" s="27">
        <v>0.02</v>
      </c>
      <c r="R91" s="27">
        <v>0.36</v>
      </c>
      <c r="S91" s="27">
        <v>1.3</v>
      </c>
      <c r="T91" s="27">
        <v>0.0</v>
      </c>
      <c r="U91" s="27">
        <v>27093.13</v>
      </c>
      <c r="V91" s="27">
        <v>14196.89</v>
      </c>
      <c r="W91" s="27">
        <v>3586.23</v>
      </c>
      <c r="X91" s="27">
        <v>4974.83</v>
      </c>
      <c r="Y91" s="27">
        <v>3951.15</v>
      </c>
      <c r="Z91" s="27">
        <v>1684.66</v>
      </c>
      <c r="AA91" s="27">
        <v>4421.29</v>
      </c>
      <c r="AB91" s="27">
        <v>668.43</v>
      </c>
      <c r="AC91" s="27">
        <v>1072.64</v>
      </c>
      <c r="AD91" s="27">
        <v>1067.47</v>
      </c>
      <c r="AE91" s="27">
        <v>1612.74</v>
      </c>
      <c r="AF91" s="27">
        <v>18618.18</v>
      </c>
      <c r="AG91" s="27"/>
      <c r="AH91" s="27"/>
      <c r="AI91" s="27"/>
      <c r="AJ91" s="27"/>
    </row>
    <row r="92" ht="25.5" customHeight="1">
      <c r="A92" s="23">
        <v>89.0</v>
      </c>
      <c r="B92" s="24">
        <v>46204.0</v>
      </c>
      <c r="C92" s="26" t="s">
        <v>2</v>
      </c>
      <c r="D92" s="26" t="s">
        <v>559</v>
      </c>
      <c r="E92" s="23" t="s">
        <v>560</v>
      </c>
      <c r="F92" s="23" t="s">
        <v>561</v>
      </c>
      <c r="G92" s="26"/>
      <c r="H92" s="26" t="s">
        <v>70</v>
      </c>
      <c r="I92" s="23" t="s">
        <v>72</v>
      </c>
      <c r="J92" s="23" t="s">
        <v>74</v>
      </c>
      <c r="K92" s="27">
        <v>12640.07</v>
      </c>
      <c r="L92" s="27">
        <v>2859.37</v>
      </c>
      <c r="M92" s="27">
        <v>4166.35</v>
      </c>
      <c r="N92" s="27">
        <v>3458.76</v>
      </c>
      <c r="O92" s="27">
        <v>2155.58</v>
      </c>
      <c r="P92" s="27">
        <v>1902.07</v>
      </c>
      <c r="Q92" s="27">
        <v>255.75</v>
      </c>
      <c r="R92" s="27">
        <v>559.21</v>
      </c>
      <c r="S92" s="27">
        <v>481.56</v>
      </c>
      <c r="T92" s="27">
        <v>605.53</v>
      </c>
      <c r="U92" s="27">
        <v>14542.14</v>
      </c>
      <c r="V92" s="27">
        <v>2950.94</v>
      </c>
      <c r="W92" s="27">
        <v>395.11</v>
      </c>
      <c r="X92" s="27">
        <v>850.84</v>
      </c>
      <c r="Y92" s="27">
        <v>813.35</v>
      </c>
      <c r="Z92" s="27">
        <v>891.62</v>
      </c>
      <c r="AA92" s="27">
        <v>448.42</v>
      </c>
      <c r="AB92" s="27">
        <v>120.62</v>
      </c>
      <c r="AC92" s="27">
        <v>158.66</v>
      </c>
      <c r="AD92" s="27">
        <v>80.98</v>
      </c>
      <c r="AE92" s="27">
        <v>88.15</v>
      </c>
      <c r="AF92" s="27">
        <v>3399.36</v>
      </c>
      <c r="AG92" s="27"/>
      <c r="AH92" s="27"/>
      <c r="AI92" s="27"/>
      <c r="AJ92" s="27"/>
    </row>
    <row r="93" ht="25.5" customHeight="1">
      <c r="A93" s="23">
        <v>90.0</v>
      </c>
      <c r="B93" s="24">
        <v>46204.0</v>
      </c>
      <c r="C93" s="26" t="s">
        <v>2</v>
      </c>
      <c r="D93" s="26" t="s">
        <v>562</v>
      </c>
      <c r="E93" s="23" t="s">
        <v>563</v>
      </c>
      <c r="F93" s="23" t="s">
        <v>564</v>
      </c>
      <c r="G93" s="26"/>
      <c r="H93" s="26" t="s">
        <v>70</v>
      </c>
      <c r="I93" s="23" t="s">
        <v>72</v>
      </c>
      <c r="J93" s="23" t="s">
        <v>74</v>
      </c>
      <c r="K93" s="27">
        <v>17166.15</v>
      </c>
      <c r="L93" s="27">
        <v>3405.99</v>
      </c>
      <c r="M93" s="27">
        <v>5776.59</v>
      </c>
      <c r="N93" s="27">
        <v>4990.7</v>
      </c>
      <c r="O93" s="27">
        <v>2992.86</v>
      </c>
      <c r="P93" s="27">
        <v>0.0</v>
      </c>
      <c r="Q93" s="27">
        <v>0.0</v>
      </c>
      <c r="R93" s="27">
        <v>0.0</v>
      </c>
      <c r="S93" s="27">
        <v>0.0</v>
      </c>
      <c r="T93" s="27">
        <v>0.0</v>
      </c>
      <c r="U93" s="27">
        <v>17166.15</v>
      </c>
      <c r="V93" s="27">
        <v>1653.1</v>
      </c>
      <c r="W93" s="27">
        <v>283.38</v>
      </c>
      <c r="X93" s="27">
        <v>614.27</v>
      </c>
      <c r="Y93" s="27">
        <v>543.47</v>
      </c>
      <c r="Z93" s="27">
        <v>211.97</v>
      </c>
      <c r="AA93" s="27">
        <v>45.15</v>
      </c>
      <c r="AB93" s="27">
        <v>17.06</v>
      </c>
      <c r="AC93" s="27">
        <v>12.23</v>
      </c>
      <c r="AD93" s="27">
        <v>8.3</v>
      </c>
      <c r="AE93" s="27">
        <v>7.55</v>
      </c>
      <c r="AF93" s="27">
        <v>1698.25</v>
      </c>
      <c r="AG93" s="27"/>
      <c r="AH93" s="27"/>
      <c r="AI93" s="27"/>
      <c r="AJ93" s="27"/>
    </row>
    <row r="94" ht="25.5" customHeight="1">
      <c r="A94" s="23">
        <v>91.0</v>
      </c>
      <c r="B94" s="24">
        <v>46204.0</v>
      </c>
      <c r="C94" s="26" t="s">
        <v>2</v>
      </c>
      <c r="D94" s="26" t="s">
        <v>565</v>
      </c>
      <c r="E94" s="23" t="s">
        <v>566</v>
      </c>
      <c r="F94" s="23" t="s">
        <v>567</v>
      </c>
      <c r="G94" s="26"/>
      <c r="H94" s="26" t="s">
        <v>70</v>
      </c>
      <c r="I94" s="23" t="s">
        <v>72</v>
      </c>
      <c r="J94" s="23" t="s">
        <v>74</v>
      </c>
      <c r="K94" s="27">
        <v>26023.67</v>
      </c>
      <c r="L94" s="27">
        <v>5799.05</v>
      </c>
      <c r="M94" s="27">
        <v>8376.32</v>
      </c>
      <c r="N94" s="27">
        <v>6896.83</v>
      </c>
      <c r="O94" s="27">
        <v>4951.45</v>
      </c>
      <c r="P94" s="27">
        <v>37.68</v>
      </c>
      <c r="Q94" s="27">
        <v>7.47</v>
      </c>
      <c r="R94" s="27">
        <v>16.37</v>
      </c>
      <c r="S94" s="27">
        <v>13.83</v>
      </c>
      <c r="T94" s="27">
        <v>0.0</v>
      </c>
      <c r="U94" s="27">
        <v>26061.35</v>
      </c>
      <c r="V94" s="27">
        <v>1583.27</v>
      </c>
      <c r="W94" s="27">
        <v>330.75</v>
      </c>
      <c r="X94" s="27">
        <v>629.5</v>
      </c>
      <c r="Y94" s="27">
        <v>470.16</v>
      </c>
      <c r="Z94" s="27">
        <v>152.84</v>
      </c>
      <c r="AA94" s="27">
        <v>318.77</v>
      </c>
      <c r="AB94" s="27">
        <v>109.89</v>
      </c>
      <c r="AC94" s="27">
        <v>68.68</v>
      </c>
      <c r="AD94" s="27">
        <v>76.11</v>
      </c>
      <c r="AE94" s="27">
        <v>64.07</v>
      </c>
      <c r="AF94" s="27">
        <v>1902.04</v>
      </c>
      <c r="AG94" s="27"/>
      <c r="AH94" s="27"/>
      <c r="AI94" s="27"/>
      <c r="AJ94" s="27"/>
    </row>
    <row r="95" ht="25.5" customHeight="1">
      <c r="A95" s="23">
        <v>92.0</v>
      </c>
      <c r="B95" s="24">
        <v>46204.0</v>
      </c>
      <c r="C95" s="26" t="s">
        <v>2</v>
      </c>
      <c r="D95" s="26" t="s">
        <v>568</v>
      </c>
      <c r="E95" s="23" t="s">
        <v>569</v>
      </c>
      <c r="F95" s="23" t="s">
        <v>570</v>
      </c>
      <c r="G95" s="26"/>
      <c r="H95" s="26" t="s">
        <v>70</v>
      </c>
      <c r="I95" s="23" t="s">
        <v>81</v>
      </c>
      <c r="J95" s="23" t="s">
        <v>74</v>
      </c>
      <c r="K95" s="27">
        <v>12301.6</v>
      </c>
      <c r="L95" s="27">
        <v>2586.98</v>
      </c>
      <c r="M95" s="27">
        <v>4189.26</v>
      </c>
      <c r="N95" s="27">
        <v>3383.25</v>
      </c>
      <c r="O95" s="27">
        <v>2142.09</v>
      </c>
      <c r="P95" s="27">
        <v>0.96</v>
      </c>
      <c r="Q95" s="27">
        <v>0.0</v>
      </c>
      <c r="R95" s="27">
        <v>0.03</v>
      </c>
      <c r="S95" s="27">
        <v>0.92</v>
      </c>
      <c r="T95" s="27">
        <v>0.0</v>
      </c>
      <c r="U95" s="27">
        <v>12302.56</v>
      </c>
      <c r="V95" s="27">
        <v>1404.76</v>
      </c>
      <c r="W95" s="27">
        <v>221.36</v>
      </c>
      <c r="X95" s="27">
        <v>694.01</v>
      </c>
      <c r="Y95" s="27">
        <v>459.31</v>
      </c>
      <c r="Z95" s="27">
        <v>30.07</v>
      </c>
      <c r="AA95" s="27">
        <v>158.31</v>
      </c>
      <c r="AB95" s="27">
        <v>48.04</v>
      </c>
      <c r="AC95" s="27">
        <v>33.73</v>
      </c>
      <c r="AD95" s="27">
        <v>24.76</v>
      </c>
      <c r="AE95" s="27">
        <v>51.77</v>
      </c>
      <c r="AF95" s="27">
        <v>1563.07</v>
      </c>
      <c r="AG95" s="27"/>
      <c r="AH95" s="27"/>
      <c r="AI95" s="27"/>
      <c r="AJ95" s="27"/>
    </row>
    <row r="96" ht="25.5" customHeight="1">
      <c r="A96" s="23">
        <v>93.0</v>
      </c>
      <c r="B96" s="24">
        <v>46204.0</v>
      </c>
      <c r="C96" s="26" t="s">
        <v>2</v>
      </c>
      <c r="D96" s="26" t="s">
        <v>343</v>
      </c>
      <c r="E96" s="23" t="s">
        <v>344</v>
      </c>
      <c r="F96" s="23" t="s">
        <v>571</v>
      </c>
      <c r="G96" s="26"/>
      <c r="H96" s="26" t="s">
        <v>70</v>
      </c>
      <c r="I96" s="23" t="s">
        <v>107</v>
      </c>
      <c r="J96" s="23" t="s">
        <v>74</v>
      </c>
      <c r="K96" s="27">
        <v>21119.39</v>
      </c>
      <c r="L96" s="27">
        <v>4336.01</v>
      </c>
      <c r="M96" s="27">
        <v>7095.48</v>
      </c>
      <c r="N96" s="27">
        <v>5757.09</v>
      </c>
      <c r="O96" s="27">
        <v>3930.78</v>
      </c>
      <c r="P96" s="27">
        <v>1.81</v>
      </c>
      <c r="Q96" s="27">
        <v>0.63</v>
      </c>
      <c r="R96" s="27">
        <v>0.59</v>
      </c>
      <c r="S96" s="27">
        <v>0.58</v>
      </c>
      <c r="T96" s="27">
        <v>0.0</v>
      </c>
      <c r="U96" s="27">
        <v>21121.2</v>
      </c>
      <c r="V96" s="27">
        <v>986.4</v>
      </c>
      <c r="W96" s="27">
        <v>169.03</v>
      </c>
      <c r="X96" s="27">
        <v>364.71</v>
      </c>
      <c r="Y96" s="27">
        <v>283.7</v>
      </c>
      <c r="Z96" s="27">
        <v>168.94</v>
      </c>
      <c r="AA96" s="27">
        <v>246.97</v>
      </c>
      <c r="AB96" s="27">
        <v>73.41</v>
      </c>
      <c r="AC96" s="27">
        <v>69.35</v>
      </c>
      <c r="AD96" s="27">
        <v>52.68</v>
      </c>
      <c r="AE96" s="27">
        <v>51.52</v>
      </c>
      <c r="AF96" s="27">
        <v>1233.37</v>
      </c>
      <c r="AG96" s="27"/>
      <c r="AH96" s="27"/>
      <c r="AI96" s="27"/>
      <c r="AJ96" s="27"/>
    </row>
    <row r="97" ht="25.5" customHeight="1">
      <c r="A97" s="23">
        <v>94.0</v>
      </c>
      <c r="B97" s="24">
        <v>46204.0</v>
      </c>
      <c r="C97" s="26" t="s">
        <v>2</v>
      </c>
      <c r="D97" s="26" t="s">
        <v>335</v>
      </c>
      <c r="E97" s="23" t="s">
        <v>336</v>
      </c>
      <c r="F97" s="23" t="s">
        <v>572</v>
      </c>
      <c r="G97" s="26"/>
      <c r="H97" s="26" t="s">
        <v>70</v>
      </c>
      <c r="I97" s="23" t="s">
        <v>72</v>
      </c>
      <c r="J97" s="23" t="s">
        <v>74</v>
      </c>
      <c r="K97" s="27">
        <v>13703.41</v>
      </c>
      <c r="L97" s="27">
        <v>3277.73</v>
      </c>
      <c r="M97" s="27">
        <v>4649.93</v>
      </c>
      <c r="N97" s="27">
        <v>3754.83</v>
      </c>
      <c r="O97" s="27">
        <v>2020.91</v>
      </c>
      <c r="P97" s="27">
        <v>10280.13</v>
      </c>
      <c r="Q97" s="27">
        <v>2100.07</v>
      </c>
      <c r="R97" s="27">
        <v>3268.07</v>
      </c>
      <c r="S97" s="27">
        <v>2698.71</v>
      </c>
      <c r="T97" s="27">
        <v>2213.26</v>
      </c>
      <c r="U97" s="27">
        <v>23983.54</v>
      </c>
      <c r="V97" s="27">
        <v>14490.56</v>
      </c>
      <c r="W97" s="27">
        <v>3083.08</v>
      </c>
      <c r="X97" s="27">
        <v>4821.8</v>
      </c>
      <c r="Y97" s="27">
        <v>3786.34</v>
      </c>
      <c r="Z97" s="27">
        <v>2799.33</v>
      </c>
      <c r="AA97" s="27">
        <v>5909.98</v>
      </c>
      <c r="AB97" s="27">
        <v>1386.64</v>
      </c>
      <c r="AC97" s="27">
        <v>1866.58</v>
      </c>
      <c r="AD97" s="27">
        <v>1703.55</v>
      </c>
      <c r="AE97" s="27">
        <v>953.2</v>
      </c>
      <c r="AF97" s="27">
        <v>20400.54</v>
      </c>
      <c r="AG97" s="27"/>
      <c r="AH97" s="27"/>
      <c r="AI97" s="27"/>
      <c r="AJ97" s="27"/>
    </row>
    <row r="98" ht="25.5" customHeight="1">
      <c r="A98" s="23">
        <v>95.0</v>
      </c>
      <c r="B98" s="24">
        <v>46204.0</v>
      </c>
      <c r="C98" s="26" t="s">
        <v>2</v>
      </c>
      <c r="D98" s="26" t="s">
        <v>265</v>
      </c>
      <c r="E98" s="23" t="s">
        <v>266</v>
      </c>
      <c r="F98" s="23" t="s">
        <v>573</v>
      </c>
      <c r="G98" s="26"/>
      <c r="H98" s="26" t="s">
        <v>70</v>
      </c>
      <c r="I98" s="23" t="s">
        <v>107</v>
      </c>
      <c r="J98" s="23" t="s">
        <v>74</v>
      </c>
      <c r="K98" s="27">
        <v>32681.75</v>
      </c>
      <c r="L98" s="27">
        <v>7598.3</v>
      </c>
      <c r="M98" s="27">
        <v>10684.83</v>
      </c>
      <c r="N98" s="27">
        <v>8665.58</v>
      </c>
      <c r="O98" s="27">
        <v>5733.01</v>
      </c>
      <c r="P98" s="27">
        <v>3.0</v>
      </c>
      <c r="Q98" s="27">
        <v>0.11</v>
      </c>
      <c r="R98" s="27">
        <v>1.07</v>
      </c>
      <c r="S98" s="27">
        <v>0.04</v>
      </c>
      <c r="T98" s="27">
        <v>1.77</v>
      </c>
      <c r="U98" s="27">
        <v>32684.75</v>
      </c>
      <c r="V98" s="27">
        <v>3424.78</v>
      </c>
      <c r="W98" s="27">
        <v>606.73</v>
      </c>
      <c r="X98" s="27">
        <v>1088.1</v>
      </c>
      <c r="Y98" s="27">
        <v>844.22</v>
      </c>
      <c r="Z98" s="27">
        <v>885.71</v>
      </c>
      <c r="AA98" s="27">
        <v>93.69</v>
      </c>
      <c r="AB98" s="27">
        <v>18.66</v>
      </c>
      <c r="AC98" s="27">
        <v>16.39</v>
      </c>
      <c r="AD98" s="27">
        <v>15.83</v>
      </c>
      <c r="AE98" s="27">
        <v>42.79</v>
      </c>
      <c r="AF98" s="27">
        <v>3518.47</v>
      </c>
      <c r="AG98" s="27"/>
      <c r="AH98" s="27"/>
      <c r="AI98" s="27"/>
      <c r="AJ98" s="27"/>
    </row>
    <row r="99" ht="25.5" customHeight="1">
      <c r="A99" s="23">
        <v>96.0</v>
      </c>
      <c r="B99" s="24">
        <v>46204.0</v>
      </c>
      <c r="C99" s="26" t="s">
        <v>2</v>
      </c>
      <c r="D99" s="26" t="s">
        <v>440</v>
      </c>
      <c r="E99" s="23" t="s">
        <v>441</v>
      </c>
      <c r="F99" s="23" t="s">
        <v>574</v>
      </c>
      <c r="G99" s="26"/>
      <c r="H99" s="26" t="s">
        <v>70</v>
      </c>
      <c r="I99" s="23" t="s">
        <v>107</v>
      </c>
      <c r="J99" s="23" t="s">
        <v>74</v>
      </c>
      <c r="K99" s="27">
        <v>36280.65</v>
      </c>
      <c r="L99" s="27">
        <v>7431.21</v>
      </c>
      <c r="M99" s="27">
        <v>11970.32</v>
      </c>
      <c r="N99" s="27">
        <v>9423.48</v>
      </c>
      <c r="O99" s="27">
        <v>7455.62</v>
      </c>
      <c r="P99" s="27">
        <v>0.0</v>
      </c>
      <c r="Q99" s="27">
        <v>0.0</v>
      </c>
      <c r="R99" s="27">
        <v>0.0</v>
      </c>
      <c r="S99" s="27">
        <v>0.0</v>
      </c>
      <c r="T99" s="27">
        <v>0.0</v>
      </c>
      <c r="U99" s="27">
        <v>36280.65</v>
      </c>
      <c r="V99" s="27">
        <v>3081.97</v>
      </c>
      <c r="W99" s="27">
        <v>493.34</v>
      </c>
      <c r="X99" s="27">
        <v>1142.9</v>
      </c>
      <c r="Y99" s="27">
        <v>923.81</v>
      </c>
      <c r="Z99" s="27">
        <v>521.9</v>
      </c>
      <c r="AA99" s="27">
        <v>306.0</v>
      </c>
      <c r="AB99" s="27">
        <v>143.75</v>
      </c>
      <c r="AC99" s="27">
        <v>100.88</v>
      </c>
      <c r="AD99" s="27">
        <v>59.55</v>
      </c>
      <c r="AE99" s="27">
        <v>1.81</v>
      </c>
      <c r="AF99" s="27">
        <v>3387.97</v>
      </c>
      <c r="AG99" s="27"/>
      <c r="AH99" s="27"/>
      <c r="AI99" s="27"/>
      <c r="AJ99" s="27"/>
    </row>
    <row r="100" ht="25.5" customHeight="1">
      <c r="A100" s="23">
        <v>97.0</v>
      </c>
      <c r="B100" s="24">
        <v>46204.0</v>
      </c>
      <c r="C100" s="26" t="s">
        <v>2</v>
      </c>
      <c r="D100" s="26" t="s">
        <v>158</v>
      </c>
      <c r="E100" s="23" t="s">
        <v>160</v>
      </c>
      <c r="F100" s="23" t="s">
        <v>575</v>
      </c>
      <c r="G100" s="26"/>
      <c r="H100" s="26" t="s">
        <v>70</v>
      </c>
      <c r="I100" s="23" t="s">
        <v>81</v>
      </c>
      <c r="J100" s="23" t="s">
        <v>74</v>
      </c>
      <c r="K100" s="27">
        <v>20784.23</v>
      </c>
      <c r="L100" s="27">
        <v>4888.99</v>
      </c>
      <c r="M100" s="27">
        <v>7268.14</v>
      </c>
      <c r="N100" s="27">
        <v>5954.17</v>
      </c>
      <c r="O100" s="27">
        <v>2672.92</v>
      </c>
      <c r="P100" s="27">
        <v>1051.72</v>
      </c>
      <c r="Q100" s="27">
        <v>338.56</v>
      </c>
      <c r="R100" s="27">
        <v>402.68</v>
      </c>
      <c r="S100" s="27">
        <v>310.46</v>
      </c>
      <c r="T100" s="27">
        <v>0.0</v>
      </c>
      <c r="U100" s="27">
        <v>21835.95</v>
      </c>
      <c r="V100" s="27">
        <v>2850.56</v>
      </c>
      <c r="W100" s="27">
        <v>574.08</v>
      </c>
      <c r="X100" s="27">
        <v>1127.97</v>
      </c>
      <c r="Y100" s="27">
        <v>964.29</v>
      </c>
      <c r="Z100" s="27">
        <v>184.21</v>
      </c>
      <c r="AA100" s="27">
        <v>2962.72</v>
      </c>
      <c r="AB100" s="27">
        <v>854.23</v>
      </c>
      <c r="AC100" s="27">
        <v>1182.95</v>
      </c>
      <c r="AD100" s="27">
        <v>903.99</v>
      </c>
      <c r="AE100" s="27">
        <v>21.53</v>
      </c>
      <c r="AF100" s="27">
        <v>5813.28</v>
      </c>
      <c r="AG100" s="27"/>
      <c r="AH100" s="27"/>
      <c r="AI100" s="27"/>
      <c r="AJ100" s="27"/>
    </row>
    <row r="101" ht="25.5" customHeight="1">
      <c r="A101" s="23">
        <v>98.0</v>
      </c>
      <c r="B101" s="24">
        <v>46204.0</v>
      </c>
      <c r="C101" s="26" t="s">
        <v>2</v>
      </c>
      <c r="D101" s="26" t="s">
        <v>373</v>
      </c>
      <c r="E101" s="23" t="s">
        <v>374</v>
      </c>
      <c r="F101" s="23" t="s">
        <v>576</v>
      </c>
      <c r="G101" s="26"/>
      <c r="H101" s="26" t="s">
        <v>70</v>
      </c>
      <c r="I101" s="23" t="s">
        <v>81</v>
      </c>
      <c r="J101" s="23" t="s">
        <v>74</v>
      </c>
      <c r="K101" s="27">
        <v>9814.32</v>
      </c>
      <c r="L101" s="27">
        <v>2143.73</v>
      </c>
      <c r="M101" s="27">
        <v>3493.78</v>
      </c>
      <c r="N101" s="27">
        <v>2611.56</v>
      </c>
      <c r="O101" s="27">
        <v>1565.24</v>
      </c>
      <c r="P101" s="27">
        <v>2237.14</v>
      </c>
      <c r="Q101" s="27">
        <v>529.69</v>
      </c>
      <c r="R101" s="27">
        <v>746.37</v>
      </c>
      <c r="S101" s="27">
        <v>647.19</v>
      </c>
      <c r="T101" s="27">
        <v>313.88</v>
      </c>
      <c r="U101" s="27">
        <v>12051.46</v>
      </c>
      <c r="V101" s="27">
        <v>1013.27</v>
      </c>
      <c r="W101" s="27">
        <v>199.53</v>
      </c>
      <c r="X101" s="27">
        <v>350.17</v>
      </c>
      <c r="Y101" s="27">
        <v>291.3</v>
      </c>
      <c r="Z101" s="27">
        <v>172.25</v>
      </c>
      <c r="AA101" s="27">
        <v>234.49</v>
      </c>
      <c r="AB101" s="27">
        <v>113.04</v>
      </c>
      <c r="AC101" s="27">
        <v>78.01</v>
      </c>
      <c r="AD101" s="27">
        <v>35.17</v>
      </c>
      <c r="AE101" s="27">
        <v>8.26</v>
      </c>
      <c r="AF101" s="27">
        <v>1247.76</v>
      </c>
      <c r="AG101" s="27"/>
      <c r="AH101" s="27"/>
      <c r="AI101" s="27"/>
      <c r="AJ101" s="27"/>
    </row>
    <row r="102" ht="25.5" customHeight="1">
      <c r="A102" s="23">
        <v>99.0</v>
      </c>
      <c r="B102" s="24">
        <v>46204.0</v>
      </c>
      <c r="C102" s="26" t="s">
        <v>2</v>
      </c>
      <c r="D102" s="26" t="s">
        <v>355</v>
      </c>
      <c r="E102" s="23" t="s">
        <v>356</v>
      </c>
      <c r="F102" s="23" t="s">
        <v>577</v>
      </c>
      <c r="G102" s="26"/>
      <c r="H102" s="26" t="s">
        <v>70</v>
      </c>
      <c r="I102" s="23" t="s">
        <v>107</v>
      </c>
      <c r="J102" s="23" t="s">
        <v>74</v>
      </c>
      <c r="K102" s="27">
        <v>5076.32</v>
      </c>
      <c r="L102" s="27">
        <v>1555.1</v>
      </c>
      <c r="M102" s="27">
        <v>1968.3</v>
      </c>
      <c r="N102" s="27">
        <v>1550.76</v>
      </c>
      <c r="O102" s="27">
        <v>2.14</v>
      </c>
      <c r="P102" s="27">
        <v>13816.78</v>
      </c>
      <c r="Q102" s="27">
        <v>1827.61</v>
      </c>
      <c r="R102" s="27">
        <v>4192.69</v>
      </c>
      <c r="S102" s="27">
        <v>3552.56</v>
      </c>
      <c r="T102" s="27">
        <v>4243.91</v>
      </c>
      <c r="U102" s="27">
        <v>18893.1</v>
      </c>
      <c r="V102" s="27">
        <v>323.87</v>
      </c>
      <c r="W102" s="27">
        <v>79.81</v>
      </c>
      <c r="X102" s="27">
        <v>113.44</v>
      </c>
      <c r="Y102" s="27">
        <v>122.79</v>
      </c>
      <c r="Z102" s="27">
        <v>7.82</v>
      </c>
      <c r="AA102" s="27">
        <v>1153.23</v>
      </c>
      <c r="AB102" s="27">
        <v>152.31</v>
      </c>
      <c r="AC102" s="27">
        <v>434.84</v>
      </c>
      <c r="AD102" s="27">
        <v>256.97</v>
      </c>
      <c r="AE102" s="27">
        <v>309.09</v>
      </c>
      <c r="AF102" s="27">
        <v>1477.1</v>
      </c>
      <c r="AG102" s="27"/>
      <c r="AH102" s="27"/>
      <c r="AI102" s="27"/>
      <c r="AJ102" s="27"/>
    </row>
    <row r="103" ht="25.5" customHeight="1">
      <c r="A103" s="23">
        <v>100.0</v>
      </c>
      <c r="B103" s="24">
        <v>46204.0</v>
      </c>
      <c r="C103" s="26" t="s">
        <v>2</v>
      </c>
      <c r="D103" s="26" t="s">
        <v>327</v>
      </c>
      <c r="E103" s="23" t="s">
        <v>328</v>
      </c>
      <c r="F103" s="23" t="s">
        <v>578</v>
      </c>
      <c r="G103" s="26"/>
      <c r="H103" s="26" t="s">
        <v>70</v>
      </c>
      <c r="I103" s="23" t="s">
        <v>107</v>
      </c>
      <c r="J103" s="23" t="s">
        <v>74</v>
      </c>
      <c r="K103" s="27">
        <v>31361.04</v>
      </c>
      <c r="L103" s="27">
        <v>6025.85</v>
      </c>
      <c r="M103" s="27">
        <v>11401.92</v>
      </c>
      <c r="N103" s="27">
        <v>9477.6</v>
      </c>
      <c r="O103" s="27">
        <v>4455.66</v>
      </c>
      <c r="P103" s="27">
        <v>0.02</v>
      </c>
      <c r="Q103" s="27">
        <v>0.0</v>
      </c>
      <c r="R103" s="27">
        <v>0.0</v>
      </c>
      <c r="S103" s="27">
        <v>0.02</v>
      </c>
      <c r="T103" s="27">
        <v>0.0</v>
      </c>
      <c r="U103" s="27">
        <v>31361.06</v>
      </c>
      <c r="V103" s="27">
        <v>6880.78</v>
      </c>
      <c r="W103" s="27">
        <v>1121.92</v>
      </c>
      <c r="X103" s="27">
        <v>2841.18</v>
      </c>
      <c r="Y103" s="27">
        <v>2290.13</v>
      </c>
      <c r="Z103" s="27">
        <v>627.53</v>
      </c>
      <c r="AA103" s="27">
        <v>6.33</v>
      </c>
      <c r="AB103" s="27">
        <v>3.05</v>
      </c>
      <c r="AC103" s="27">
        <v>0.81</v>
      </c>
      <c r="AD103" s="27">
        <v>2.38</v>
      </c>
      <c r="AE103" s="27">
        <v>0.07</v>
      </c>
      <c r="AF103" s="27">
        <v>6887.11</v>
      </c>
      <c r="AG103" s="27"/>
      <c r="AH103" s="27"/>
      <c r="AI103" s="27"/>
      <c r="AJ103" s="27"/>
    </row>
    <row r="104" ht="25.5" customHeight="1">
      <c r="A104" s="23">
        <v>101.0</v>
      </c>
      <c r="B104" s="24">
        <v>46204.0</v>
      </c>
      <c r="C104" s="26" t="s">
        <v>2</v>
      </c>
      <c r="D104" s="26" t="s">
        <v>579</v>
      </c>
      <c r="E104" s="23" t="s">
        <v>580</v>
      </c>
      <c r="F104" s="23" t="s">
        <v>581</v>
      </c>
      <c r="G104" s="26"/>
      <c r="H104" s="26" t="s">
        <v>70</v>
      </c>
      <c r="I104" s="23" t="s">
        <v>107</v>
      </c>
      <c r="J104" s="23" t="s">
        <v>74</v>
      </c>
      <c r="K104" s="27">
        <v>3874.18</v>
      </c>
      <c r="L104" s="27">
        <v>540.71</v>
      </c>
      <c r="M104" s="27">
        <v>1178.03</v>
      </c>
      <c r="N104" s="27">
        <v>996.73</v>
      </c>
      <c r="O104" s="27">
        <v>1158.69</v>
      </c>
      <c r="P104" s="27">
        <v>1514.07</v>
      </c>
      <c r="Q104" s="27">
        <v>420.93</v>
      </c>
      <c r="R104" s="27">
        <v>596.81</v>
      </c>
      <c r="S104" s="27">
        <v>435.76</v>
      </c>
      <c r="T104" s="27">
        <v>60.56</v>
      </c>
      <c r="U104" s="27">
        <v>5388.25</v>
      </c>
      <c r="V104" s="27">
        <v>2918.24</v>
      </c>
      <c r="W104" s="27">
        <v>760.29</v>
      </c>
      <c r="X104" s="27">
        <v>1153.69</v>
      </c>
      <c r="Y104" s="27">
        <v>782.02</v>
      </c>
      <c r="Z104" s="27">
        <v>222.23</v>
      </c>
      <c r="AA104" s="27">
        <v>1.47</v>
      </c>
      <c r="AB104" s="27">
        <v>0.13</v>
      </c>
      <c r="AC104" s="27">
        <v>0.18</v>
      </c>
      <c r="AD104" s="27">
        <v>0.28</v>
      </c>
      <c r="AE104" s="27">
        <v>0.87</v>
      </c>
      <c r="AF104" s="27">
        <v>2919.71</v>
      </c>
      <c r="AG104" s="27"/>
      <c r="AH104" s="27"/>
      <c r="AI104" s="27"/>
      <c r="AJ104" s="27"/>
    </row>
    <row r="105" ht="25.5" customHeight="1">
      <c r="A105" s="23">
        <v>102.0</v>
      </c>
      <c r="B105" s="24">
        <v>46204.0</v>
      </c>
      <c r="C105" s="26" t="s">
        <v>2</v>
      </c>
      <c r="D105" s="26" t="s">
        <v>135</v>
      </c>
      <c r="E105" s="23" t="s">
        <v>137</v>
      </c>
      <c r="F105" s="23" t="s">
        <v>582</v>
      </c>
      <c r="G105" s="26"/>
      <c r="H105" s="26" t="s">
        <v>70</v>
      </c>
      <c r="I105" s="23" t="s">
        <v>72</v>
      </c>
      <c r="J105" s="23" t="s">
        <v>74</v>
      </c>
      <c r="K105" s="27">
        <v>14268.79</v>
      </c>
      <c r="L105" s="27">
        <v>2454.56</v>
      </c>
      <c r="M105" s="27">
        <v>4998.41</v>
      </c>
      <c r="N105" s="27">
        <v>4013.96</v>
      </c>
      <c r="O105" s="27">
        <v>2801.86</v>
      </c>
      <c r="P105" s="27">
        <v>0.01</v>
      </c>
      <c r="Q105" s="27">
        <v>0.0</v>
      </c>
      <c r="R105" s="27">
        <v>0.01</v>
      </c>
      <c r="S105" s="27">
        <v>0.0</v>
      </c>
      <c r="T105" s="27">
        <v>0.0</v>
      </c>
      <c r="U105" s="27">
        <v>14268.8</v>
      </c>
      <c r="V105" s="27">
        <v>3574.11</v>
      </c>
      <c r="W105" s="27">
        <v>582.32</v>
      </c>
      <c r="X105" s="27">
        <v>1559.42</v>
      </c>
      <c r="Y105" s="27">
        <v>1086.26</v>
      </c>
      <c r="Z105" s="27">
        <v>346.09</v>
      </c>
      <c r="AA105" s="27">
        <v>36.68</v>
      </c>
      <c r="AB105" s="27">
        <v>14.52</v>
      </c>
      <c r="AC105" s="27">
        <v>8.18</v>
      </c>
      <c r="AD105" s="27">
        <v>5.26</v>
      </c>
      <c r="AE105" s="27">
        <v>8.71</v>
      </c>
      <c r="AF105" s="27">
        <v>3610.79</v>
      </c>
      <c r="AG105" s="27"/>
      <c r="AH105" s="27"/>
      <c r="AI105" s="27"/>
      <c r="AJ105" s="27"/>
    </row>
    <row r="106" ht="25.5" customHeight="1">
      <c r="A106" s="23">
        <v>103.0</v>
      </c>
      <c r="B106" s="24">
        <v>46204.0</v>
      </c>
      <c r="C106" s="26" t="s">
        <v>2</v>
      </c>
      <c r="D106" s="26" t="s">
        <v>298</v>
      </c>
      <c r="E106" s="23" t="s">
        <v>299</v>
      </c>
      <c r="F106" s="23" t="s">
        <v>583</v>
      </c>
      <c r="G106" s="26"/>
      <c r="H106" s="26" t="s">
        <v>70</v>
      </c>
      <c r="I106" s="23" t="s">
        <v>72</v>
      </c>
      <c r="J106" s="23" t="s">
        <v>74</v>
      </c>
      <c r="K106" s="27">
        <v>16225.27</v>
      </c>
      <c r="L106" s="27">
        <v>2867.17</v>
      </c>
      <c r="M106" s="27">
        <v>5325.72</v>
      </c>
      <c r="N106" s="27">
        <v>4195.79</v>
      </c>
      <c r="O106" s="27">
        <v>3836.58</v>
      </c>
      <c r="P106" s="27">
        <v>1.3</v>
      </c>
      <c r="Q106" s="27">
        <v>0.0</v>
      </c>
      <c r="R106" s="27">
        <v>0.03</v>
      </c>
      <c r="S106" s="27">
        <v>1.26</v>
      </c>
      <c r="T106" s="27">
        <v>0.0</v>
      </c>
      <c r="U106" s="27">
        <v>16226.57</v>
      </c>
      <c r="V106" s="27">
        <v>1602.46</v>
      </c>
      <c r="W106" s="27">
        <v>184.87</v>
      </c>
      <c r="X106" s="27">
        <v>733.39</v>
      </c>
      <c r="Y106" s="27">
        <v>487.15</v>
      </c>
      <c r="Z106" s="27">
        <v>197.03</v>
      </c>
      <c r="AA106" s="27">
        <v>55.4</v>
      </c>
      <c r="AB106" s="27">
        <v>18.1</v>
      </c>
      <c r="AC106" s="27">
        <v>7.67</v>
      </c>
      <c r="AD106" s="27">
        <v>7.88</v>
      </c>
      <c r="AE106" s="27">
        <v>21.73</v>
      </c>
      <c r="AF106" s="27">
        <v>1657.86</v>
      </c>
      <c r="AG106" s="27"/>
      <c r="AH106" s="27"/>
      <c r="AI106" s="27"/>
      <c r="AJ106" s="27"/>
    </row>
    <row r="107" ht="25.5" customHeight="1">
      <c r="A107" s="23">
        <v>104.0</v>
      </c>
      <c r="B107" s="24">
        <v>46204.0</v>
      </c>
      <c r="C107" s="26" t="s">
        <v>2</v>
      </c>
      <c r="D107" s="26" t="s">
        <v>584</v>
      </c>
      <c r="E107" s="23" t="s">
        <v>585</v>
      </c>
      <c r="F107" s="23" t="s">
        <v>586</v>
      </c>
      <c r="G107" s="26"/>
      <c r="H107" s="26" t="s">
        <v>70</v>
      </c>
      <c r="I107" s="23" t="s">
        <v>72</v>
      </c>
      <c r="J107" s="23" t="s">
        <v>74</v>
      </c>
      <c r="K107" s="27">
        <v>16081.43</v>
      </c>
      <c r="L107" s="27">
        <v>3412.4</v>
      </c>
      <c r="M107" s="27">
        <v>5429.43</v>
      </c>
      <c r="N107" s="27">
        <v>4580.87</v>
      </c>
      <c r="O107" s="27">
        <v>2658.71</v>
      </c>
      <c r="P107" s="27">
        <v>0.0</v>
      </c>
      <c r="Q107" s="27">
        <v>0.0</v>
      </c>
      <c r="R107" s="27">
        <v>0.0</v>
      </c>
      <c r="S107" s="27">
        <v>0.0</v>
      </c>
      <c r="T107" s="27">
        <v>0.0</v>
      </c>
      <c r="U107" s="27">
        <v>16081.43</v>
      </c>
      <c r="V107" s="27">
        <v>1826.65</v>
      </c>
      <c r="W107" s="27">
        <v>348.56</v>
      </c>
      <c r="X107" s="27">
        <v>644.6</v>
      </c>
      <c r="Y107" s="27">
        <v>619.27</v>
      </c>
      <c r="Z107" s="27">
        <v>214.21</v>
      </c>
      <c r="AA107" s="27">
        <v>72.27</v>
      </c>
      <c r="AB107" s="27">
        <v>23.04</v>
      </c>
      <c r="AC107" s="27">
        <v>19.3</v>
      </c>
      <c r="AD107" s="27">
        <v>14.31</v>
      </c>
      <c r="AE107" s="27">
        <v>15.62</v>
      </c>
      <c r="AF107" s="27">
        <v>1898.92</v>
      </c>
      <c r="AG107" s="27"/>
      <c r="AH107" s="27"/>
      <c r="AI107" s="27"/>
      <c r="AJ107" s="27"/>
    </row>
    <row r="108" ht="25.5" customHeight="1">
      <c r="A108" s="23">
        <v>105.0</v>
      </c>
      <c r="B108" s="24">
        <v>46204.0</v>
      </c>
      <c r="C108" s="26" t="s">
        <v>2</v>
      </c>
      <c r="D108" s="26" t="s">
        <v>587</v>
      </c>
      <c r="E108" s="23" t="s">
        <v>588</v>
      </c>
      <c r="F108" s="23" t="s">
        <v>589</v>
      </c>
      <c r="G108" s="26"/>
      <c r="H108" s="26" t="s">
        <v>70</v>
      </c>
      <c r="I108" s="23" t="s">
        <v>107</v>
      </c>
      <c r="J108" s="23" t="s">
        <v>74</v>
      </c>
      <c r="K108" s="27">
        <v>15472.96</v>
      </c>
      <c r="L108" s="27">
        <v>3612.17</v>
      </c>
      <c r="M108" s="27">
        <v>4497.93</v>
      </c>
      <c r="N108" s="27">
        <v>3562.28</v>
      </c>
      <c r="O108" s="27">
        <v>3800.57</v>
      </c>
      <c r="P108" s="27">
        <v>41.28</v>
      </c>
      <c r="Q108" s="27">
        <v>0.0</v>
      </c>
      <c r="R108" s="27">
        <v>5.44</v>
      </c>
      <c r="S108" s="27">
        <v>35.84</v>
      </c>
      <c r="T108" s="27">
        <v>0.0</v>
      </c>
      <c r="U108" s="27">
        <v>15514.24</v>
      </c>
      <c r="V108" s="27">
        <v>289.42</v>
      </c>
      <c r="W108" s="27">
        <v>57.54</v>
      </c>
      <c r="X108" s="27">
        <v>97.06</v>
      </c>
      <c r="Y108" s="27">
        <v>60.52</v>
      </c>
      <c r="Z108" s="27">
        <v>74.28</v>
      </c>
      <c r="AA108" s="27">
        <v>2388.84</v>
      </c>
      <c r="AB108" s="27">
        <v>653.57</v>
      </c>
      <c r="AC108" s="27">
        <v>682.03</v>
      </c>
      <c r="AD108" s="27">
        <v>512.85</v>
      </c>
      <c r="AE108" s="27">
        <v>540.38</v>
      </c>
      <c r="AF108" s="27">
        <v>2678.26</v>
      </c>
      <c r="AG108" s="27"/>
      <c r="AH108" s="27"/>
      <c r="AI108" s="27"/>
      <c r="AJ108" s="27"/>
    </row>
    <row r="109" ht="25.5" customHeight="1">
      <c r="A109" s="23">
        <v>106.0</v>
      </c>
      <c r="B109" s="24">
        <v>46204.0</v>
      </c>
      <c r="C109" s="26" t="s">
        <v>2</v>
      </c>
      <c r="D109" s="26" t="s">
        <v>590</v>
      </c>
      <c r="E109" s="23" t="s">
        <v>591</v>
      </c>
      <c r="F109" s="23" t="s">
        <v>592</v>
      </c>
      <c r="G109" s="26"/>
      <c r="H109" s="26" t="s">
        <v>70</v>
      </c>
      <c r="I109" s="23" t="s">
        <v>72</v>
      </c>
      <c r="J109" s="23" t="s">
        <v>74</v>
      </c>
      <c r="K109" s="27">
        <v>15334.85</v>
      </c>
      <c r="L109" s="27">
        <v>3431.58</v>
      </c>
      <c r="M109" s="27">
        <v>5041.67</v>
      </c>
      <c r="N109" s="27">
        <v>4153.2</v>
      </c>
      <c r="O109" s="27">
        <v>2708.39</v>
      </c>
      <c r="P109" s="27">
        <v>0.0</v>
      </c>
      <c r="Q109" s="27">
        <v>0.0</v>
      </c>
      <c r="R109" s="27">
        <v>0.0</v>
      </c>
      <c r="S109" s="27">
        <v>0.0</v>
      </c>
      <c r="T109" s="27">
        <v>0.0</v>
      </c>
      <c r="U109" s="27">
        <v>15334.85</v>
      </c>
      <c r="V109" s="27">
        <v>930.41</v>
      </c>
      <c r="W109" s="27">
        <v>185.86</v>
      </c>
      <c r="X109" s="27">
        <v>310.39</v>
      </c>
      <c r="Y109" s="27">
        <v>298.38</v>
      </c>
      <c r="Z109" s="27">
        <v>135.77</v>
      </c>
      <c r="AA109" s="27">
        <v>207.94</v>
      </c>
      <c r="AB109" s="27">
        <v>59.28</v>
      </c>
      <c r="AC109" s="27">
        <v>54.06</v>
      </c>
      <c r="AD109" s="27">
        <v>44.92</v>
      </c>
      <c r="AE109" s="27">
        <v>49.67</v>
      </c>
      <c r="AF109" s="27">
        <v>1138.35</v>
      </c>
      <c r="AG109" s="27"/>
      <c r="AH109" s="27"/>
      <c r="AI109" s="27"/>
      <c r="AJ109" s="27"/>
    </row>
    <row r="110" ht="25.5" customHeight="1">
      <c r="A110" s="23">
        <v>107.0</v>
      </c>
      <c r="B110" s="24">
        <v>46204.0</v>
      </c>
      <c r="C110" s="26" t="s">
        <v>2</v>
      </c>
      <c r="D110" s="26" t="s">
        <v>593</v>
      </c>
      <c r="E110" s="23" t="s">
        <v>594</v>
      </c>
      <c r="F110" s="23" t="s">
        <v>595</v>
      </c>
      <c r="G110" s="26"/>
      <c r="H110" s="26" t="s">
        <v>70</v>
      </c>
      <c r="I110" s="23" t="s">
        <v>107</v>
      </c>
      <c r="J110" s="23" t="s">
        <v>74</v>
      </c>
      <c r="K110" s="27">
        <v>289.33</v>
      </c>
      <c r="L110" s="27">
        <v>58.38</v>
      </c>
      <c r="M110" s="27">
        <v>102.88</v>
      </c>
      <c r="N110" s="27">
        <v>83.08</v>
      </c>
      <c r="O110" s="27">
        <v>44.98</v>
      </c>
      <c r="P110" s="27">
        <v>95.47</v>
      </c>
      <c r="Q110" s="27">
        <v>20.67</v>
      </c>
      <c r="R110" s="27">
        <v>33.31</v>
      </c>
      <c r="S110" s="27">
        <v>27.28</v>
      </c>
      <c r="T110" s="27">
        <v>14.2</v>
      </c>
      <c r="U110" s="27">
        <v>384.8</v>
      </c>
      <c r="V110" s="27">
        <v>23.61</v>
      </c>
      <c r="W110" s="27">
        <v>3.05</v>
      </c>
      <c r="X110" s="27">
        <v>11.75</v>
      </c>
      <c r="Y110" s="27">
        <v>7.37</v>
      </c>
      <c r="Z110" s="27">
        <v>1.43</v>
      </c>
      <c r="AA110" s="27">
        <v>14.23</v>
      </c>
      <c r="AB110" s="27">
        <v>3.8</v>
      </c>
      <c r="AC110" s="27">
        <v>4.05</v>
      </c>
      <c r="AD110" s="27">
        <v>3.52</v>
      </c>
      <c r="AE110" s="27">
        <v>2.85</v>
      </c>
      <c r="AF110" s="27">
        <v>37.84</v>
      </c>
      <c r="AG110" s="27"/>
      <c r="AH110" s="27"/>
      <c r="AI110" s="27"/>
      <c r="AJ110" s="27"/>
    </row>
    <row r="111" ht="25.5" customHeight="1">
      <c r="A111" s="23">
        <v>108.0</v>
      </c>
      <c r="B111" s="24">
        <v>46204.0</v>
      </c>
      <c r="C111" s="26" t="s">
        <v>2</v>
      </c>
      <c r="D111" s="26" t="s">
        <v>487</v>
      </c>
      <c r="E111" s="23" t="s">
        <v>488</v>
      </c>
      <c r="F111" s="23" t="s">
        <v>596</v>
      </c>
      <c r="G111" s="26"/>
      <c r="H111" s="26" t="s">
        <v>70</v>
      </c>
      <c r="I111" s="23" t="s">
        <v>107</v>
      </c>
      <c r="J111" s="23" t="s">
        <v>74</v>
      </c>
      <c r="K111" s="27">
        <v>10371.47</v>
      </c>
      <c r="L111" s="27">
        <v>1806.64</v>
      </c>
      <c r="M111" s="27">
        <v>3635.82</v>
      </c>
      <c r="N111" s="27">
        <v>3017.95</v>
      </c>
      <c r="O111" s="27">
        <v>1911.05</v>
      </c>
      <c r="P111" s="27">
        <v>0.0</v>
      </c>
      <c r="Q111" s="27">
        <v>0.0</v>
      </c>
      <c r="R111" s="27">
        <v>0.0</v>
      </c>
      <c r="S111" s="27">
        <v>0.0</v>
      </c>
      <c r="T111" s="27">
        <v>0.0</v>
      </c>
      <c r="U111" s="27">
        <v>10371.47</v>
      </c>
      <c r="V111" s="27">
        <v>770.85</v>
      </c>
      <c r="W111" s="27">
        <v>203.36</v>
      </c>
      <c r="X111" s="27">
        <v>242.76</v>
      </c>
      <c r="Y111" s="27">
        <v>195.33</v>
      </c>
      <c r="Z111" s="27">
        <v>129.38</v>
      </c>
      <c r="AA111" s="27">
        <v>99.49</v>
      </c>
      <c r="AB111" s="27">
        <v>15.93</v>
      </c>
      <c r="AC111" s="27">
        <v>28.89</v>
      </c>
      <c r="AD111" s="27">
        <v>31.86</v>
      </c>
      <c r="AE111" s="27">
        <v>22.8</v>
      </c>
      <c r="AF111" s="27">
        <v>870.34</v>
      </c>
      <c r="AG111" s="27"/>
      <c r="AH111" s="27"/>
      <c r="AI111" s="27"/>
      <c r="AJ111" s="27"/>
    </row>
    <row r="112" ht="25.5" customHeight="1">
      <c r="A112" s="23">
        <v>109.0</v>
      </c>
      <c r="B112" s="24">
        <v>46204.0</v>
      </c>
      <c r="C112" s="26" t="s">
        <v>2</v>
      </c>
      <c r="D112" s="26" t="s">
        <v>597</v>
      </c>
      <c r="E112" s="23" t="s">
        <v>598</v>
      </c>
      <c r="F112" s="23" t="s">
        <v>599</v>
      </c>
      <c r="G112" s="26"/>
      <c r="H112" s="26" t="s">
        <v>70</v>
      </c>
      <c r="I112" s="23" t="s">
        <v>107</v>
      </c>
      <c r="J112" s="23" t="s">
        <v>74</v>
      </c>
      <c r="K112" s="27">
        <v>11376.53</v>
      </c>
      <c r="L112" s="27">
        <v>2878.34</v>
      </c>
      <c r="M112" s="27">
        <v>3887.48</v>
      </c>
      <c r="N112" s="27">
        <v>2995.57</v>
      </c>
      <c r="O112" s="27">
        <v>1615.13</v>
      </c>
      <c r="P112" s="27">
        <v>5866.96</v>
      </c>
      <c r="Q112" s="27">
        <v>1336.95</v>
      </c>
      <c r="R112" s="27">
        <v>1918.32</v>
      </c>
      <c r="S112" s="27">
        <v>1551.41</v>
      </c>
      <c r="T112" s="27">
        <v>1060.27</v>
      </c>
      <c r="U112" s="27">
        <v>17243.49</v>
      </c>
      <c r="V112" s="27">
        <v>1123.03</v>
      </c>
      <c r="W112" s="27">
        <v>255.11</v>
      </c>
      <c r="X112" s="27">
        <v>356.82</v>
      </c>
      <c r="Y112" s="27">
        <v>311.54</v>
      </c>
      <c r="Z112" s="27">
        <v>199.56</v>
      </c>
      <c r="AA112" s="27">
        <v>412.8</v>
      </c>
      <c r="AB112" s="27">
        <v>117.24</v>
      </c>
      <c r="AC112" s="27">
        <v>130.55</v>
      </c>
      <c r="AD112" s="27">
        <v>82.14</v>
      </c>
      <c r="AE112" s="27">
        <v>82.86</v>
      </c>
      <c r="AF112" s="27">
        <v>1535.83</v>
      </c>
      <c r="AG112" s="27"/>
      <c r="AH112" s="27"/>
      <c r="AI112" s="27"/>
      <c r="AJ112" s="27"/>
    </row>
    <row r="113" ht="25.5" customHeight="1">
      <c r="A113" s="23">
        <v>110.0</v>
      </c>
      <c r="B113" s="24">
        <v>46204.0</v>
      </c>
      <c r="C113" s="26" t="s">
        <v>2</v>
      </c>
      <c r="D113" s="26" t="s">
        <v>382</v>
      </c>
      <c r="E113" s="23" t="s">
        <v>383</v>
      </c>
      <c r="F113" s="23" t="s">
        <v>600</v>
      </c>
      <c r="G113" s="26"/>
      <c r="H113" s="26" t="s">
        <v>70</v>
      </c>
      <c r="I113" s="23" t="s">
        <v>81</v>
      </c>
      <c r="J113" s="23" t="s">
        <v>74</v>
      </c>
      <c r="K113" s="27">
        <v>16205.07</v>
      </c>
      <c r="L113" s="27">
        <v>3874.36</v>
      </c>
      <c r="M113" s="27">
        <v>5291.41</v>
      </c>
      <c r="N113" s="27">
        <v>4319.14</v>
      </c>
      <c r="O113" s="27">
        <v>2720.14</v>
      </c>
      <c r="P113" s="27">
        <v>0.0</v>
      </c>
      <c r="Q113" s="27">
        <v>0.0</v>
      </c>
      <c r="R113" s="27">
        <v>0.0</v>
      </c>
      <c r="S113" s="27">
        <v>0.0</v>
      </c>
      <c r="T113" s="27">
        <v>0.0</v>
      </c>
      <c r="U113" s="27">
        <v>16205.07</v>
      </c>
      <c r="V113" s="27">
        <v>833.35</v>
      </c>
      <c r="W113" s="27">
        <v>164.28</v>
      </c>
      <c r="X113" s="27">
        <v>291.58</v>
      </c>
      <c r="Y113" s="27">
        <v>224.36</v>
      </c>
      <c r="Z113" s="27">
        <v>153.11</v>
      </c>
      <c r="AA113" s="27">
        <v>338.71</v>
      </c>
      <c r="AB113" s="27">
        <v>132.77</v>
      </c>
      <c r="AC113" s="27">
        <v>66.75</v>
      </c>
      <c r="AD113" s="27">
        <v>57.95</v>
      </c>
      <c r="AE113" s="27">
        <v>81.23</v>
      </c>
      <c r="AF113" s="27">
        <v>1172.06</v>
      </c>
      <c r="AG113" s="27"/>
      <c r="AH113" s="27"/>
      <c r="AI113" s="27"/>
      <c r="AJ113" s="27"/>
    </row>
    <row r="114" ht="25.5" customHeight="1">
      <c r="A114" s="23">
        <v>111.0</v>
      </c>
      <c r="B114" s="24">
        <v>46204.0</v>
      </c>
      <c r="C114" s="26" t="s">
        <v>2</v>
      </c>
      <c r="D114" s="26" t="s">
        <v>380</v>
      </c>
      <c r="E114" s="23" t="s">
        <v>381</v>
      </c>
      <c r="F114" s="23" t="s">
        <v>601</v>
      </c>
      <c r="G114" s="26"/>
      <c r="H114" s="26" t="s">
        <v>70</v>
      </c>
      <c r="I114" s="23" t="s">
        <v>107</v>
      </c>
      <c r="J114" s="23" t="s">
        <v>74</v>
      </c>
      <c r="K114" s="27">
        <v>2521.35</v>
      </c>
      <c r="L114" s="27">
        <v>458.78</v>
      </c>
      <c r="M114" s="27">
        <v>922.71</v>
      </c>
      <c r="N114" s="27">
        <v>713.76</v>
      </c>
      <c r="O114" s="27">
        <v>426.09</v>
      </c>
      <c r="P114" s="27">
        <v>0.05</v>
      </c>
      <c r="Q114" s="27">
        <v>0.01</v>
      </c>
      <c r="R114" s="27">
        <v>0.03</v>
      </c>
      <c r="S114" s="27">
        <v>0.0</v>
      </c>
      <c r="T114" s="27">
        <v>0.0</v>
      </c>
      <c r="U114" s="27">
        <v>2521.4</v>
      </c>
      <c r="V114" s="27">
        <v>176.82</v>
      </c>
      <c r="W114" s="27">
        <v>21.14</v>
      </c>
      <c r="X114" s="27">
        <v>82.54</v>
      </c>
      <c r="Y114" s="27">
        <v>61.95</v>
      </c>
      <c r="Z114" s="27">
        <v>11.17</v>
      </c>
      <c r="AA114" s="27">
        <v>58.06</v>
      </c>
      <c r="AB114" s="27">
        <v>13.17</v>
      </c>
      <c r="AC114" s="27">
        <v>16.25</v>
      </c>
      <c r="AD114" s="27">
        <v>13.11</v>
      </c>
      <c r="AE114" s="27">
        <v>15.51</v>
      </c>
      <c r="AF114" s="27">
        <v>234.88</v>
      </c>
      <c r="AG114" s="27"/>
      <c r="AH114" s="27"/>
      <c r="AI114" s="27"/>
      <c r="AJ114" s="27"/>
    </row>
    <row r="115" ht="25.5" customHeight="1">
      <c r="A115" s="23">
        <v>112.0</v>
      </c>
      <c r="B115" s="24">
        <v>46204.0</v>
      </c>
      <c r="C115" s="26" t="s">
        <v>2</v>
      </c>
      <c r="D115" s="26" t="s">
        <v>442</v>
      </c>
      <c r="E115" s="23" t="s">
        <v>444</v>
      </c>
      <c r="F115" s="23" t="s">
        <v>602</v>
      </c>
      <c r="G115" s="26"/>
      <c r="H115" s="26" t="s">
        <v>70</v>
      </c>
      <c r="I115" s="23" t="s">
        <v>107</v>
      </c>
      <c r="J115" s="23" t="s">
        <v>74</v>
      </c>
      <c r="K115" s="27">
        <v>16494.34</v>
      </c>
      <c r="L115" s="27">
        <v>4102.98</v>
      </c>
      <c r="M115" s="27">
        <v>5297.68</v>
      </c>
      <c r="N115" s="27">
        <v>4263.04</v>
      </c>
      <c r="O115" s="27">
        <v>2830.63</v>
      </c>
      <c r="P115" s="27">
        <v>0.0</v>
      </c>
      <c r="Q115" s="27">
        <v>0.0</v>
      </c>
      <c r="R115" s="27">
        <v>0.0</v>
      </c>
      <c r="S115" s="27">
        <v>0.0</v>
      </c>
      <c r="T115" s="27">
        <v>0.0</v>
      </c>
      <c r="U115" s="27">
        <v>16494.34</v>
      </c>
      <c r="V115" s="27">
        <v>688.47</v>
      </c>
      <c r="W115" s="27">
        <v>132.3</v>
      </c>
      <c r="X115" s="27">
        <v>237.15</v>
      </c>
      <c r="Y115" s="27">
        <v>204.96</v>
      </c>
      <c r="Z115" s="27">
        <v>114.04</v>
      </c>
      <c r="AA115" s="27">
        <v>71.58</v>
      </c>
      <c r="AB115" s="27">
        <v>26.3</v>
      </c>
      <c r="AC115" s="27">
        <v>20.33</v>
      </c>
      <c r="AD115" s="27">
        <v>13.62</v>
      </c>
      <c r="AE115" s="27">
        <v>11.31</v>
      </c>
      <c r="AF115" s="27">
        <v>760.05</v>
      </c>
      <c r="AG115" s="27"/>
      <c r="AH115" s="27"/>
      <c r="AI115" s="27"/>
      <c r="AJ115" s="27"/>
    </row>
    <row r="116" ht="25.5" customHeight="1">
      <c r="A116" s="23">
        <v>113.0</v>
      </c>
      <c r="B116" s="24">
        <v>46204.0</v>
      </c>
      <c r="C116" s="26" t="s">
        <v>2</v>
      </c>
      <c r="D116" s="26" t="s">
        <v>425</v>
      </c>
      <c r="E116" s="23" t="s">
        <v>426</v>
      </c>
      <c r="F116" s="23" t="s">
        <v>603</v>
      </c>
      <c r="G116" s="26"/>
      <c r="H116" s="26" t="s">
        <v>70</v>
      </c>
      <c r="I116" s="23" t="s">
        <v>107</v>
      </c>
      <c r="J116" s="23" t="s">
        <v>74</v>
      </c>
      <c r="K116" s="27">
        <v>14396.88</v>
      </c>
      <c r="L116" s="27">
        <v>2806.66</v>
      </c>
      <c r="M116" s="27">
        <v>5028.33</v>
      </c>
      <c r="N116" s="27">
        <v>4044.76</v>
      </c>
      <c r="O116" s="27">
        <v>2517.11</v>
      </c>
      <c r="P116" s="27">
        <v>0.0</v>
      </c>
      <c r="Q116" s="27">
        <v>0.0</v>
      </c>
      <c r="R116" s="27">
        <v>0.0</v>
      </c>
      <c r="S116" s="27">
        <v>0.0</v>
      </c>
      <c r="T116" s="27">
        <v>0.0</v>
      </c>
      <c r="U116" s="27">
        <v>14396.88</v>
      </c>
      <c r="V116" s="27">
        <v>862.35</v>
      </c>
      <c r="W116" s="27">
        <v>182.64</v>
      </c>
      <c r="X116" s="27">
        <v>284.36</v>
      </c>
      <c r="Y116" s="27">
        <v>232.49</v>
      </c>
      <c r="Z116" s="27">
        <v>162.83</v>
      </c>
      <c r="AA116" s="27">
        <v>37.12</v>
      </c>
      <c r="AB116" s="27">
        <v>7.54</v>
      </c>
      <c r="AC116" s="27">
        <v>15.61</v>
      </c>
      <c r="AD116" s="27">
        <v>9.18</v>
      </c>
      <c r="AE116" s="27">
        <v>4.78</v>
      </c>
      <c r="AF116" s="27">
        <v>899.47</v>
      </c>
      <c r="AG116" s="27"/>
      <c r="AH116" s="27"/>
      <c r="AI116" s="27"/>
      <c r="AJ116" s="27"/>
    </row>
    <row r="117" ht="25.5" customHeight="1">
      <c r="A117" s="23">
        <v>114.0</v>
      </c>
      <c r="B117" s="24">
        <v>46204.0</v>
      </c>
      <c r="C117" s="26" t="s">
        <v>2</v>
      </c>
      <c r="D117" s="26" t="s">
        <v>394</v>
      </c>
      <c r="E117" s="23" t="s">
        <v>395</v>
      </c>
      <c r="F117" s="23" t="s">
        <v>604</v>
      </c>
      <c r="G117" s="26"/>
      <c r="H117" s="26" t="s">
        <v>70</v>
      </c>
      <c r="I117" s="23" t="s">
        <v>107</v>
      </c>
      <c r="J117" s="23" t="s">
        <v>74</v>
      </c>
      <c r="K117" s="27">
        <v>4339.48</v>
      </c>
      <c r="L117" s="27">
        <v>1321.38</v>
      </c>
      <c r="M117" s="27">
        <v>1670.26</v>
      </c>
      <c r="N117" s="27">
        <v>1343.6</v>
      </c>
      <c r="O117" s="27">
        <v>4.23</v>
      </c>
      <c r="P117" s="27">
        <v>14646.86</v>
      </c>
      <c r="Q117" s="27">
        <v>2580.29</v>
      </c>
      <c r="R117" s="27">
        <v>4710.85</v>
      </c>
      <c r="S117" s="27">
        <v>3864.62</v>
      </c>
      <c r="T117" s="27">
        <v>3491.08</v>
      </c>
      <c r="U117" s="27">
        <v>18986.34</v>
      </c>
      <c r="V117" s="27">
        <v>285.54</v>
      </c>
      <c r="W117" s="27">
        <v>78.07</v>
      </c>
      <c r="X117" s="27">
        <v>87.51</v>
      </c>
      <c r="Y117" s="27">
        <v>96.84</v>
      </c>
      <c r="Z117" s="27">
        <v>23.11</v>
      </c>
      <c r="AA117" s="27">
        <v>1146.97</v>
      </c>
      <c r="AB117" s="27">
        <v>192.88</v>
      </c>
      <c r="AC117" s="27">
        <v>418.02</v>
      </c>
      <c r="AD117" s="27">
        <v>275.55</v>
      </c>
      <c r="AE117" s="27">
        <v>260.5</v>
      </c>
      <c r="AF117" s="27">
        <v>1432.51</v>
      </c>
      <c r="AG117" s="27"/>
      <c r="AH117" s="27"/>
      <c r="AI117" s="27"/>
      <c r="AJ117" s="27"/>
    </row>
    <row r="118" ht="25.5" customHeight="1">
      <c r="A118" s="23">
        <v>115.0</v>
      </c>
      <c r="B118" s="24">
        <v>46204.0</v>
      </c>
      <c r="C118" s="26" t="s">
        <v>2</v>
      </c>
      <c r="D118" s="26" t="s">
        <v>168</v>
      </c>
      <c r="E118" s="23" t="s">
        <v>169</v>
      </c>
      <c r="F118" s="23" t="s">
        <v>605</v>
      </c>
      <c r="G118" s="26"/>
      <c r="H118" s="26" t="s">
        <v>70</v>
      </c>
      <c r="I118" s="23" t="s">
        <v>107</v>
      </c>
      <c r="J118" s="23" t="s">
        <v>74</v>
      </c>
      <c r="K118" s="27">
        <v>5851.07</v>
      </c>
      <c r="L118" s="27">
        <v>1617.18</v>
      </c>
      <c r="M118" s="27">
        <v>2308.19</v>
      </c>
      <c r="N118" s="27">
        <v>1918.44</v>
      </c>
      <c r="O118" s="27">
        <v>7.24</v>
      </c>
      <c r="P118" s="27">
        <v>32251.39</v>
      </c>
      <c r="Q118" s="27">
        <v>4138.38</v>
      </c>
      <c r="R118" s="27">
        <v>9877.5</v>
      </c>
      <c r="S118" s="27">
        <v>7754.19</v>
      </c>
      <c r="T118" s="27">
        <v>10481.3</v>
      </c>
      <c r="U118" s="27">
        <v>38102.46</v>
      </c>
      <c r="V118" s="27">
        <v>308.05</v>
      </c>
      <c r="W118" s="27">
        <v>44.82</v>
      </c>
      <c r="X118" s="27">
        <v>89.46</v>
      </c>
      <c r="Y118" s="27">
        <v>142.78</v>
      </c>
      <c r="Z118" s="27">
        <v>30.97</v>
      </c>
      <c r="AA118" s="27">
        <v>2750.76</v>
      </c>
      <c r="AB118" s="27">
        <v>387.13</v>
      </c>
      <c r="AC118" s="27">
        <v>1044.3</v>
      </c>
      <c r="AD118" s="27">
        <v>569.08</v>
      </c>
      <c r="AE118" s="27">
        <v>750.23</v>
      </c>
      <c r="AF118" s="27">
        <v>3058.81</v>
      </c>
      <c r="AG118" s="27"/>
      <c r="AH118" s="27"/>
      <c r="AI118" s="27"/>
      <c r="AJ118" s="27"/>
    </row>
    <row r="119" ht="25.5" customHeight="1">
      <c r="A119" s="23">
        <v>116.0</v>
      </c>
      <c r="B119" s="24">
        <v>46204.0</v>
      </c>
      <c r="C119" s="26" t="s">
        <v>2</v>
      </c>
      <c r="D119" s="26" t="s">
        <v>606</v>
      </c>
      <c r="E119" s="23" t="s">
        <v>607</v>
      </c>
      <c r="F119" s="23" t="s">
        <v>608</v>
      </c>
      <c r="G119" s="26"/>
      <c r="H119" s="26" t="s">
        <v>70</v>
      </c>
      <c r="I119" s="23" t="s">
        <v>107</v>
      </c>
      <c r="J119" s="23" t="s">
        <v>74</v>
      </c>
      <c r="K119" s="27">
        <v>45066.13</v>
      </c>
      <c r="L119" s="27">
        <v>10174.88</v>
      </c>
      <c r="M119" s="27">
        <v>14931.75</v>
      </c>
      <c r="N119" s="27">
        <v>12241.62</v>
      </c>
      <c r="O119" s="27">
        <v>7717.87</v>
      </c>
      <c r="P119" s="27">
        <v>0.16</v>
      </c>
      <c r="Q119" s="27">
        <v>0.0</v>
      </c>
      <c r="R119" s="27">
        <v>0.0</v>
      </c>
      <c r="S119" s="27">
        <v>0.16</v>
      </c>
      <c r="T119" s="27">
        <v>0.0</v>
      </c>
      <c r="U119" s="27">
        <v>45066.29</v>
      </c>
      <c r="V119" s="27">
        <v>1995.44</v>
      </c>
      <c r="W119" s="27">
        <v>308.84</v>
      </c>
      <c r="X119" s="27">
        <v>751.06</v>
      </c>
      <c r="Y119" s="27">
        <v>594.01</v>
      </c>
      <c r="Z119" s="27">
        <v>341.52</v>
      </c>
      <c r="AA119" s="27">
        <v>349.96</v>
      </c>
      <c r="AB119" s="27">
        <v>118.95</v>
      </c>
      <c r="AC119" s="27">
        <v>107.76</v>
      </c>
      <c r="AD119" s="27">
        <v>63.01</v>
      </c>
      <c r="AE119" s="27">
        <v>60.22</v>
      </c>
      <c r="AF119" s="27">
        <v>2345.4</v>
      </c>
      <c r="AG119" s="27"/>
      <c r="AH119" s="27"/>
      <c r="AI119" s="27"/>
      <c r="AJ119" s="27"/>
    </row>
    <row r="120" ht="25.5" customHeight="1">
      <c r="A120" s="23">
        <v>117.0</v>
      </c>
      <c r="B120" s="24">
        <v>46204.0</v>
      </c>
      <c r="C120" s="26" t="s">
        <v>2</v>
      </c>
      <c r="D120" s="26" t="s">
        <v>330</v>
      </c>
      <c r="E120" s="23" t="s">
        <v>331</v>
      </c>
      <c r="F120" s="23" t="s">
        <v>609</v>
      </c>
      <c r="G120" s="26"/>
      <c r="H120" s="26" t="s">
        <v>70</v>
      </c>
      <c r="I120" s="23" t="s">
        <v>72</v>
      </c>
      <c r="J120" s="23" t="s">
        <v>74</v>
      </c>
      <c r="K120" s="27">
        <v>18720.72</v>
      </c>
      <c r="L120" s="27">
        <v>3264.2</v>
      </c>
      <c r="M120" s="27">
        <v>6152.98</v>
      </c>
      <c r="N120" s="27">
        <v>4883.31</v>
      </c>
      <c r="O120" s="27">
        <v>4420.23</v>
      </c>
      <c r="P120" s="27">
        <v>0.63</v>
      </c>
      <c r="Q120" s="27">
        <v>0.0</v>
      </c>
      <c r="R120" s="27">
        <v>0.63</v>
      </c>
      <c r="S120" s="27">
        <v>0.0</v>
      </c>
      <c r="T120" s="27">
        <v>0.0</v>
      </c>
      <c r="U120" s="27">
        <v>18721.35</v>
      </c>
      <c r="V120" s="27">
        <v>766.62</v>
      </c>
      <c r="W120" s="27">
        <v>113.88</v>
      </c>
      <c r="X120" s="27">
        <v>268.14</v>
      </c>
      <c r="Y120" s="27">
        <v>183.84</v>
      </c>
      <c r="Z120" s="27">
        <v>200.74</v>
      </c>
      <c r="AA120" s="27">
        <v>18.71</v>
      </c>
      <c r="AB120" s="27">
        <v>7.07</v>
      </c>
      <c r="AC120" s="27">
        <v>4.84</v>
      </c>
      <c r="AD120" s="27">
        <v>3.0</v>
      </c>
      <c r="AE120" s="27">
        <v>3.79</v>
      </c>
      <c r="AF120" s="27">
        <v>785.33</v>
      </c>
      <c r="AG120" s="27"/>
      <c r="AH120" s="27"/>
      <c r="AI120" s="27"/>
      <c r="AJ120" s="27"/>
    </row>
    <row r="121" ht="25.5" customHeight="1">
      <c r="A121" s="23">
        <v>118.0</v>
      </c>
      <c r="B121" s="24">
        <v>46204.0</v>
      </c>
      <c r="C121" s="26" t="s">
        <v>2</v>
      </c>
      <c r="D121" s="26" t="s">
        <v>288</v>
      </c>
      <c r="E121" s="23" t="s">
        <v>292</v>
      </c>
      <c r="F121" s="23" t="s">
        <v>610</v>
      </c>
      <c r="G121" s="26"/>
      <c r="H121" s="26" t="s">
        <v>70</v>
      </c>
      <c r="I121" s="23" t="s">
        <v>72</v>
      </c>
      <c r="J121" s="23" t="s">
        <v>74</v>
      </c>
      <c r="K121" s="27">
        <v>9149.86</v>
      </c>
      <c r="L121" s="27">
        <v>1775.01</v>
      </c>
      <c r="M121" s="27">
        <v>3060.84</v>
      </c>
      <c r="N121" s="27">
        <v>2563.59</v>
      </c>
      <c r="O121" s="27">
        <v>1750.41</v>
      </c>
      <c r="P121" s="27">
        <v>0.0</v>
      </c>
      <c r="Q121" s="27">
        <v>0.0</v>
      </c>
      <c r="R121" s="27">
        <v>0.0</v>
      </c>
      <c r="S121" s="27">
        <v>0.0</v>
      </c>
      <c r="T121" s="27">
        <v>0.0</v>
      </c>
      <c r="U121" s="27">
        <v>9149.86</v>
      </c>
      <c r="V121" s="27">
        <v>791.17</v>
      </c>
      <c r="W121" s="27">
        <v>170.89</v>
      </c>
      <c r="X121" s="27">
        <v>299.62</v>
      </c>
      <c r="Y121" s="27">
        <v>235.34</v>
      </c>
      <c r="Z121" s="27">
        <v>85.3</v>
      </c>
      <c r="AA121" s="27">
        <v>17.27</v>
      </c>
      <c r="AB121" s="27">
        <v>5.71</v>
      </c>
      <c r="AC121" s="27">
        <v>3.51</v>
      </c>
      <c r="AD121" s="27">
        <v>2.94</v>
      </c>
      <c r="AE121" s="27">
        <v>5.09</v>
      </c>
      <c r="AF121" s="27">
        <v>808.44</v>
      </c>
      <c r="AG121" s="27"/>
      <c r="AH121" s="27"/>
      <c r="AI121" s="27"/>
      <c r="AJ121" s="27"/>
    </row>
    <row r="122" ht="25.5" customHeight="1">
      <c r="A122" s="23">
        <v>119.0</v>
      </c>
      <c r="B122" s="24">
        <v>46204.0</v>
      </c>
      <c r="C122" s="26" t="s">
        <v>2</v>
      </c>
      <c r="D122" s="26" t="s">
        <v>325</v>
      </c>
      <c r="E122" s="23" t="s">
        <v>326</v>
      </c>
      <c r="F122" s="23" t="s">
        <v>611</v>
      </c>
      <c r="G122" s="26"/>
      <c r="H122" s="26" t="s">
        <v>70</v>
      </c>
      <c r="I122" s="23" t="s">
        <v>72</v>
      </c>
      <c r="J122" s="23" t="s">
        <v>74</v>
      </c>
      <c r="K122" s="27">
        <v>35972.09</v>
      </c>
      <c r="L122" s="27">
        <v>7829.54</v>
      </c>
      <c r="M122" s="27">
        <v>12449.28</v>
      </c>
      <c r="N122" s="27">
        <v>9800.87</v>
      </c>
      <c r="O122" s="27">
        <v>5892.38</v>
      </c>
      <c r="P122" s="27">
        <v>0.06</v>
      </c>
      <c r="Q122" s="27">
        <v>0.0</v>
      </c>
      <c r="R122" s="27">
        <v>0.0</v>
      </c>
      <c r="S122" s="27">
        <v>0.06</v>
      </c>
      <c r="T122" s="27">
        <v>0.0</v>
      </c>
      <c r="U122" s="27">
        <v>35972.15</v>
      </c>
      <c r="V122" s="27">
        <v>5402.31</v>
      </c>
      <c r="W122" s="27">
        <v>1181.63</v>
      </c>
      <c r="X122" s="27">
        <v>2013.92</v>
      </c>
      <c r="Y122" s="27">
        <v>1520.19</v>
      </c>
      <c r="Z122" s="27">
        <v>686.56</v>
      </c>
      <c r="AA122" s="27">
        <v>20.59</v>
      </c>
      <c r="AB122" s="27">
        <v>10.27</v>
      </c>
      <c r="AC122" s="27">
        <v>4.46</v>
      </c>
      <c r="AD122" s="27">
        <v>2.75</v>
      </c>
      <c r="AE122" s="27">
        <v>3.09</v>
      </c>
      <c r="AF122" s="27">
        <v>5422.9</v>
      </c>
      <c r="AG122" s="27"/>
      <c r="AH122" s="27"/>
      <c r="AI122" s="27"/>
      <c r="AJ122" s="27"/>
    </row>
    <row r="123" ht="25.5" customHeight="1">
      <c r="A123" s="23">
        <v>120.0</v>
      </c>
      <c r="B123" s="24">
        <v>46204.0</v>
      </c>
      <c r="C123" s="26" t="s">
        <v>2</v>
      </c>
      <c r="D123" s="26" t="s">
        <v>272</v>
      </c>
      <c r="E123" s="23" t="s">
        <v>276</v>
      </c>
      <c r="F123" s="23" t="s">
        <v>612</v>
      </c>
      <c r="G123" s="26"/>
      <c r="H123" s="26" t="s">
        <v>70</v>
      </c>
      <c r="I123" s="23" t="s">
        <v>72</v>
      </c>
      <c r="J123" s="23" t="s">
        <v>74</v>
      </c>
      <c r="K123" s="27">
        <v>12631.96</v>
      </c>
      <c r="L123" s="27">
        <v>2730.69</v>
      </c>
      <c r="M123" s="27">
        <v>4198.22</v>
      </c>
      <c r="N123" s="27">
        <v>3357.98</v>
      </c>
      <c r="O123" s="27">
        <v>2345.05</v>
      </c>
      <c r="P123" s="27">
        <v>0.06</v>
      </c>
      <c r="Q123" s="27">
        <v>0.0</v>
      </c>
      <c r="R123" s="27">
        <v>0.0</v>
      </c>
      <c r="S123" s="27">
        <v>0.03</v>
      </c>
      <c r="T123" s="27">
        <v>0.02</v>
      </c>
      <c r="U123" s="27">
        <v>12632.02</v>
      </c>
      <c r="V123" s="27">
        <v>534.15</v>
      </c>
      <c r="W123" s="27">
        <v>79.85</v>
      </c>
      <c r="X123" s="27">
        <v>188.45</v>
      </c>
      <c r="Y123" s="27">
        <v>168.88</v>
      </c>
      <c r="Z123" s="27">
        <v>96.95</v>
      </c>
      <c r="AA123" s="27">
        <v>297.97</v>
      </c>
      <c r="AB123" s="27">
        <v>77.56</v>
      </c>
      <c r="AC123" s="27">
        <v>50.38</v>
      </c>
      <c r="AD123" s="27">
        <v>23.96</v>
      </c>
      <c r="AE123" s="27">
        <v>146.06</v>
      </c>
      <c r="AF123" s="27">
        <v>832.12</v>
      </c>
      <c r="AG123" s="27"/>
      <c r="AH123" s="27"/>
      <c r="AI123" s="27"/>
      <c r="AJ123" s="27"/>
    </row>
    <row r="124" ht="25.5" customHeight="1">
      <c r="A124" s="23">
        <v>121.0</v>
      </c>
      <c r="B124" s="24">
        <v>46204.0</v>
      </c>
      <c r="C124" s="26" t="s">
        <v>2</v>
      </c>
      <c r="D124" s="26" t="s">
        <v>613</v>
      </c>
      <c r="E124" s="23" t="s">
        <v>614</v>
      </c>
      <c r="F124" s="23" t="s">
        <v>615</v>
      </c>
      <c r="G124" s="26"/>
      <c r="H124" s="26" t="s">
        <v>70</v>
      </c>
      <c r="I124" s="23" t="s">
        <v>72</v>
      </c>
      <c r="J124" s="23" t="s">
        <v>74</v>
      </c>
      <c r="K124" s="27">
        <v>12168.64</v>
      </c>
      <c r="L124" s="27">
        <v>2485.24</v>
      </c>
      <c r="M124" s="27">
        <v>4148.08</v>
      </c>
      <c r="N124" s="27">
        <v>3489.16</v>
      </c>
      <c r="O124" s="27">
        <v>2046.15</v>
      </c>
      <c r="P124" s="27">
        <v>0.0</v>
      </c>
      <c r="Q124" s="27">
        <v>0.0</v>
      </c>
      <c r="R124" s="27">
        <v>0.0</v>
      </c>
      <c r="S124" s="27">
        <v>0.0</v>
      </c>
      <c r="T124" s="27">
        <v>0.0</v>
      </c>
      <c r="U124" s="27">
        <v>12168.64</v>
      </c>
      <c r="V124" s="27">
        <v>758.02</v>
      </c>
      <c r="W124" s="27">
        <v>101.16</v>
      </c>
      <c r="X124" s="27">
        <v>308.4</v>
      </c>
      <c r="Y124" s="27">
        <v>282.69</v>
      </c>
      <c r="Z124" s="27">
        <v>65.75</v>
      </c>
      <c r="AA124" s="27">
        <v>158.62</v>
      </c>
      <c r="AB124" s="27">
        <v>52.63</v>
      </c>
      <c r="AC124" s="27">
        <v>47.16</v>
      </c>
      <c r="AD124" s="27">
        <v>27.08</v>
      </c>
      <c r="AE124" s="27">
        <v>31.73</v>
      </c>
      <c r="AF124" s="27">
        <v>916.64</v>
      </c>
      <c r="AG124" s="27"/>
      <c r="AH124" s="27"/>
      <c r="AI124" s="27"/>
      <c r="AJ124" s="27"/>
    </row>
    <row r="125" ht="25.5" customHeight="1">
      <c r="A125" s="23">
        <v>122.0</v>
      </c>
      <c r="B125" s="24">
        <v>46204.0</v>
      </c>
      <c r="C125" s="26" t="s">
        <v>2</v>
      </c>
      <c r="D125" s="26" t="s">
        <v>616</v>
      </c>
      <c r="E125" s="23" t="s">
        <v>617</v>
      </c>
      <c r="F125" s="23" t="s">
        <v>618</v>
      </c>
      <c r="G125" s="26"/>
      <c r="H125" s="26" t="s">
        <v>70</v>
      </c>
      <c r="I125" s="23" t="s">
        <v>107</v>
      </c>
      <c r="J125" s="23" t="s">
        <v>74</v>
      </c>
      <c r="K125" s="27">
        <v>1903.27</v>
      </c>
      <c r="L125" s="27">
        <v>631.83</v>
      </c>
      <c r="M125" s="27">
        <v>787.37</v>
      </c>
      <c r="N125" s="27">
        <v>484.06</v>
      </c>
      <c r="O125" s="27">
        <v>0.0</v>
      </c>
      <c r="P125" s="27">
        <v>6138.04</v>
      </c>
      <c r="Q125" s="27">
        <v>829.16</v>
      </c>
      <c r="R125" s="27">
        <v>1627.8</v>
      </c>
      <c r="S125" s="27">
        <v>1710.4</v>
      </c>
      <c r="T125" s="27">
        <v>1970.65</v>
      </c>
      <c r="U125" s="27">
        <v>8041.31</v>
      </c>
      <c r="V125" s="27">
        <v>369.95</v>
      </c>
      <c r="W125" s="27">
        <v>49.55</v>
      </c>
      <c r="X125" s="27">
        <v>87.06</v>
      </c>
      <c r="Y125" s="27">
        <v>107.25</v>
      </c>
      <c r="Z125" s="27">
        <v>126.08</v>
      </c>
      <c r="AA125" s="27">
        <v>308.44</v>
      </c>
      <c r="AB125" s="27">
        <v>76.02</v>
      </c>
      <c r="AC125" s="27">
        <v>106.86</v>
      </c>
      <c r="AD125" s="27">
        <v>58.54</v>
      </c>
      <c r="AE125" s="27">
        <v>67.01</v>
      </c>
      <c r="AF125" s="27">
        <v>678.39</v>
      </c>
      <c r="AG125" s="27"/>
      <c r="AH125" s="27"/>
      <c r="AI125" s="27"/>
      <c r="AJ125" s="27"/>
    </row>
    <row r="126" ht="25.5" customHeight="1">
      <c r="A126" s="23">
        <v>123.0</v>
      </c>
      <c r="B126" s="24">
        <v>46204.0</v>
      </c>
      <c r="C126" s="26" t="s">
        <v>2</v>
      </c>
      <c r="D126" s="26" t="s">
        <v>402</v>
      </c>
      <c r="E126" s="23" t="s">
        <v>403</v>
      </c>
      <c r="F126" s="23" t="s">
        <v>619</v>
      </c>
      <c r="G126" s="26"/>
      <c r="H126" s="26" t="s">
        <v>70</v>
      </c>
      <c r="I126" s="23" t="s">
        <v>99</v>
      </c>
      <c r="J126" s="23" t="s">
        <v>74</v>
      </c>
      <c r="K126" s="27">
        <v>18514.98</v>
      </c>
      <c r="L126" s="27">
        <v>3956.14</v>
      </c>
      <c r="M126" s="27">
        <v>5707.43</v>
      </c>
      <c r="N126" s="27">
        <v>4767.57</v>
      </c>
      <c r="O126" s="27">
        <v>4083.82</v>
      </c>
      <c r="P126" s="27">
        <v>2630.4</v>
      </c>
      <c r="Q126" s="27">
        <v>952.16</v>
      </c>
      <c r="R126" s="27">
        <v>1057.61</v>
      </c>
      <c r="S126" s="27">
        <v>620.62</v>
      </c>
      <c r="T126" s="27">
        <v>0.0</v>
      </c>
      <c r="U126" s="27">
        <v>21145.38</v>
      </c>
      <c r="V126" s="27">
        <v>582.38</v>
      </c>
      <c r="W126" s="27">
        <v>128.3</v>
      </c>
      <c r="X126" s="27">
        <v>211.33</v>
      </c>
      <c r="Y126" s="27">
        <v>165.92</v>
      </c>
      <c r="Z126" s="27">
        <v>76.82</v>
      </c>
      <c r="AA126" s="27">
        <v>342.88</v>
      </c>
      <c r="AB126" s="27">
        <v>87.3</v>
      </c>
      <c r="AC126" s="27">
        <v>92.31</v>
      </c>
      <c r="AD126" s="27">
        <v>77.04</v>
      </c>
      <c r="AE126" s="27">
        <v>86.21</v>
      </c>
      <c r="AF126" s="27">
        <v>925.26</v>
      </c>
      <c r="AG126" s="27"/>
      <c r="AH126" s="27"/>
      <c r="AI126" s="27"/>
      <c r="AJ126" s="27"/>
    </row>
    <row r="127" ht="25.5" customHeight="1">
      <c r="A127" s="23">
        <v>124.0</v>
      </c>
      <c r="B127" s="24">
        <v>46204.0</v>
      </c>
      <c r="C127" s="26" t="s">
        <v>2</v>
      </c>
      <c r="D127" s="26" t="s">
        <v>177</v>
      </c>
      <c r="E127" s="23" t="s">
        <v>180</v>
      </c>
      <c r="F127" s="23" t="s">
        <v>620</v>
      </c>
      <c r="G127" s="26"/>
      <c r="H127" s="26" t="s">
        <v>70</v>
      </c>
      <c r="I127" s="23" t="s">
        <v>72</v>
      </c>
      <c r="J127" s="23" t="s">
        <v>74</v>
      </c>
      <c r="K127" s="27">
        <v>12006.49</v>
      </c>
      <c r="L127" s="27">
        <v>1972.17</v>
      </c>
      <c r="M127" s="27">
        <v>3929.12</v>
      </c>
      <c r="N127" s="27">
        <v>3174.45</v>
      </c>
      <c r="O127" s="27">
        <v>2930.73</v>
      </c>
      <c r="P127" s="27">
        <v>1449.9</v>
      </c>
      <c r="Q127" s="27">
        <v>175.04</v>
      </c>
      <c r="R127" s="27">
        <v>473.35</v>
      </c>
      <c r="S127" s="27">
        <v>391.17</v>
      </c>
      <c r="T127" s="27">
        <v>410.33</v>
      </c>
      <c r="U127" s="27">
        <v>13456.39</v>
      </c>
      <c r="V127" s="27">
        <v>6170.18</v>
      </c>
      <c r="W127" s="27">
        <v>1553.71</v>
      </c>
      <c r="X127" s="27">
        <v>2363.0</v>
      </c>
      <c r="Y127" s="27">
        <v>1862.79</v>
      </c>
      <c r="Z127" s="27">
        <v>390.67</v>
      </c>
      <c r="AA127" s="27">
        <v>472.56</v>
      </c>
      <c r="AB127" s="27">
        <v>59.13</v>
      </c>
      <c r="AC127" s="27">
        <v>161.44</v>
      </c>
      <c r="AD127" s="27">
        <v>95.49</v>
      </c>
      <c r="AE127" s="27">
        <v>156.49</v>
      </c>
      <c r="AF127" s="27">
        <v>6642.74</v>
      </c>
      <c r="AG127" s="27"/>
      <c r="AH127" s="27"/>
      <c r="AI127" s="27"/>
      <c r="AJ127" s="27"/>
    </row>
    <row r="128" ht="25.5" customHeight="1">
      <c r="A128" s="23">
        <v>125.0</v>
      </c>
      <c r="B128" s="24">
        <v>46204.0</v>
      </c>
      <c r="C128" s="26" t="s">
        <v>2</v>
      </c>
      <c r="D128" s="26" t="s">
        <v>234</v>
      </c>
      <c r="E128" s="23" t="s">
        <v>235</v>
      </c>
      <c r="F128" s="23" t="s">
        <v>621</v>
      </c>
      <c r="G128" s="26"/>
      <c r="H128" s="26" t="s">
        <v>70</v>
      </c>
      <c r="I128" s="23" t="s">
        <v>107</v>
      </c>
      <c r="J128" s="23" t="s">
        <v>74</v>
      </c>
      <c r="K128" s="27">
        <v>17823.32</v>
      </c>
      <c r="L128" s="27">
        <v>3557.09</v>
      </c>
      <c r="M128" s="27">
        <v>5685.33</v>
      </c>
      <c r="N128" s="27">
        <v>4697.69</v>
      </c>
      <c r="O128" s="27">
        <v>3883.2</v>
      </c>
      <c r="P128" s="27">
        <v>0.0</v>
      </c>
      <c r="Q128" s="27">
        <v>0.0</v>
      </c>
      <c r="R128" s="27">
        <v>0.0</v>
      </c>
      <c r="S128" s="27">
        <v>0.0</v>
      </c>
      <c r="T128" s="27">
        <v>0.0</v>
      </c>
      <c r="U128" s="27">
        <v>17823.32</v>
      </c>
      <c r="V128" s="27">
        <v>637.66</v>
      </c>
      <c r="W128" s="27">
        <v>108.61</v>
      </c>
      <c r="X128" s="27">
        <v>222.01</v>
      </c>
      <c r="Y128" s="27">
        <v>164.59</v>
      </c>
      <c r="Z128" s="27">
        <v>142.42</v>
      </c>
      <c r="AA128" s="27">
        <v>105.12</v>
      </c>
      <c r="AB128" s="27">
        <v>44.74</v>
      </c>
      <c r="AC128" s="27">
        <v>32.6</v>
      </c>
      <c r="AD128" s="27">
        <v>19.82</v>
      </c>
      <c r="AE128" s="27">
        <v>7.94</v>
      </c>
      <c r="AF128" s="27">
        <v>742.78</v>
      </c>
      <c r="AG128" s="27"/>
      <c r="AH128" s="27"/>
      <c r="AI128" s="27"/>
      <c r="AJ128" s="27"/>
    </row>
    <row r="129" ht="25.5" customHeight="1">
      <c r="A129" s="23">
        <v>126.0</v>
      </c>
      <c r="B129" s="24">
        <v>46204.0</v>
      </c>
      <c r="C129" s="26" t="s">
        <v>2</v>
      </c>
      <c r="D129" s="26" t="s">
        <v>484</v>
      </c>
      <c r="E129" s="23" t="s">
        <v>486</v>
      </c>
      <c r="F129" s="23" t="s">
        <v>622</v>
      </c>
      <c r="G129" s="26"/>
      <c r="H129" s="26" t="s">
        <v>70</v>
      </c>
      <c r="I129" s="23" t="s">
        <v>107</v>
      </c>
      <c r="J129" s="23" t="s">
        <v>74</v>
      </c>
      <c r="K129" s="27">
        <v>9639.68</v>
      </c>
      <c r="L129" s="27">
        <v>2188.36</v>
      </c>
      <c r="M129" s="27">
        <v>3091.32</v>
      </c>
      <c r="N129" s="27">
        <v>2500.33</v>
      </c>
      <c r="O129" s="27">
        <v>1859.66</v>
      </c>
      <c r="P129" s="27">
        <v>0.0</v>
      </c>
      <c r="Q129" s="27">
        <v>0.0</v>
      </c>
      <c r="R129" s="27">
        <v>0.0</v>
      </c>
      <c r="S129" s="27">
        <v>0.0</v>
      </c>
      <c r="T129" s="27">
        <v>0.0</v>
      </c>
      <c r="U129" s="27">
        <v>9639.68</v>
      </c>
      <c r="V129" s="27">
        <v>618.5</v>
      </c>
      <c r="W129" s="27">
        <v>108.74</v>
      </c>
      <c r="X129" s="27">
        <v>208.98</v>
      </c>
      <c r="Y129" s="27">
        <v>152.52</v>
      </c>
      <c r="Z129" s="27">
        <v>148.25</v>
      </c>
      <c r="AA129" s="27">
        <v>101.92</v>
      </c>
      <c r="AB129" s="27">
        <v>30.99</v>
      </c>
      <c r="AC129" s="27">
        <v>34.01</v>
      </c>
      <c r="AD129" s="27">
        <v>24.49</v>
      </c>
      <c r="AE129" s="27">
        <v>12.41</v>
      </c>
      <c r="AF129" s="27">
        <v>720.42</v>
      </c>
      <c r="AG129" s="27"/>
      <c r="AH129" s="27"/>
      <c r="AI129" s="27"/>
      <c r="AJ129" s="27"/>
    </row>
    <row r="130" ht="25.5" customHeight="1">
      <c r="A130" s="23">
        <v>127.0</v>
      </c>
      <c r="B130" s="24">
        <v>46204.0</v>
      </c>
      <c r="C130" s="26" t="s">
        <v>2</v>
      </c>
      <c r="D130" s="26" t="s">
        <v>387</v>
      </c>
      <c r="E130" s="23" t="s">
        <v>388</v>
      </c>
      <c r="F130" s="23" t="s">
        <v>623</v>
      </c>
      <c r="G130" s="26"/>
      <c r="H130" s="26" t="s">
        <v>70</v>
      </c>
      <c r="I130" s="23" t="s">
        <v>72</v>
      </c>
      <c r="J130" s="23" t="s">
        <v>74</v>
      </c>
      <c r="K130" s="27">
        <v>23332.26</v>
      </c>
      <c r="L130" s="27">
        <v>4826.19</v>
      </c>
      <c r="M130" s="27">
        <v>8539.57</v>
      </c>
      <c r="N130" s="27">
        <v>6884.87</v>
      </c>
      <c r="O130" s="27">
        <v>3081.61</v>
      </c>
      <c r="P130" s="27">
        <v>0.0</v>
      </c>
      <c r="Q130" s="27">
        <v>0.0</v>
      </c>
      <c r="R130" s="27">
        <v>0.0</v>
      </c>
      <c r="S130" s="27">
        <v>0.0</v>
      </c>
      <c r="T130" s="27">
        <v>0.0</v>
      </c>
      <c r="U130" s="27">
        <v>23332.26</v>
      </c>
      <c r="V130" s="27">
        <v>2789.87</v>
      </c>
      <c r="W130" s="27">
        <v>425.16</v>
      </c>
      <c r="X130" s="27">
        <v>1026.01</v>
      </c>
      <c r="Y130" s="27">
        <v>865.92</v>
      </c>
      <c r="Z130" s="27">
        <v>472.77</v>
      </c>
      <c r="AA130" s="27">
        <v>47.14</v>
      </c>
      <c r="AB130" s="27">
        <v>22.13</v>
      </c>
      <c r="AC130" s="27">
        <v>11.5</v>
      </c>
      <c r="AD130" s="27">
        <v>9.76</v>
      </c>
      <c r="AE130" s="27">
        <v>3.74</v>
      </c>
      <c r="AF130" s="27">
        <v>2837.01</v>
      </c>
      <c r="AG130" s="27"/>
      <c r="AH130" s="27"/>
      <c r="AI130" s="27"/>
      <c r="AJ130" s="27"/>
    </row>
    <row r="131" ht="25.5" customHeight="1">
      <c r="A131" s="23">
        <v>128.0</v>
      </c>
      <c r="B131" s="24">
        <v>46204.0</v>
      </c>
      <c r="C131" s="26" t="s">
        <v>2</v>
      </c>
      <c r="D131" s="26" t="s">
        <v>624</v>
      </c>
      <c r="E131" s="23" t="s">
        <v>625</v>
      </c>
      <c r="F131" s="23" t="s">
        <v>626</v>
      </c>
      <c r="G131" s="26"/>
      <c r="H131" s="26" t="s">
        <v>70</v>
      </c>
      <c r="I131" s="23" t="s">
        <v>107</v>
      </c>
      <c r="J131" s="23" t="s">
        <v>74</v>
      </c>
      <c r="K131" s="27">
        <v>13032.84</v>
      </c>
      <c r="L131" s="27">
        <v>2821.58</v>
      </c>
      <c r="M131" s="27">
        <v>4026.09</v>
      </c>
      <c r="N131" s="27">
        <v>3544.5</v>
      </c>
      <c r="O131" s="27">
        <v>2640.66</v>
      </c>
      <c r="P131" s="27">
        <v>17634.75</v>
      </c>
      <c r="Q131" s="27">
        <v>2347.46</v>
      </c>
      <c r="R131" s="27">
        <v>4936.12</v>
      </c>
      <c r="S131" s="27">
        <v>4380.65</v>
      </c>
      <c r="T131" s="27">
        <v>5970.5</v>
      </c>
      <c r="U131" s="27">
        <v>30667.59</v>
      </c>
      <c r="V131" s="27">
        <v>852.94</v>
      </c>
      <c r="W131" s="27">
        <v>120.88</v>
      </c>
      <c r="X131" s="27">
        <v>256.72</v>
      </c>
      <c r="Y131" s="27">
        <v>244.54</v>
      </c>
      <c r="Z131" s="27">
        <v>230.77</v>
      </c>
      <c r="AA131" s="27">
        <v>1024.1</v>
      </c>
      <c r="AB131" s="27">
        <v>170.01</v>
      </c>
      <c r="AC131" s="27">
        <v>357.28</v>
      </c>
      <c r="AD131" s="27">
        <v>212.12</v>
      </c>
      <c r="AE131" s="27">
        <v>284.68</v>
      </c>
      <c r="AF131" s="27">
        <v>1877.04</v>
      </c>
      <c r="AG131" s="27"/>
      <c r="AH131" s="27"/>
      <c r="AI131" s="27"/>
      <c r="AJ131" s="27"/>
    </row>
    <row r="132" ht="25.5" customHeight="1">
      <c r="A132" s="23">
        <v>129.0</v>
      </c>
      <c r="B132" s="24">
        <v>46204.0</v>
      </c>
      <c r="C132" s="26" t="s">
        <v>2</v>
      </c>
      <c r="D132" s="26" t="s">
        <v>322</v>
      </c>
      <c r="E132" s="23" t="s">
        <v>323</v>
      </c>
      <c r="F132" s="23" t="s">
        <v>627</v>
      </c>
      <c r="G132" s="26"/>
      <c r="H132" s="26" t="s">
        <v>70</v>
      </c>
      <c r="I132" s="23" t="s">
        <v>81</v>
      </c>
      <c r="J132" s="23" t="s">
        <v>74</v>
      </c>
      <c r="K132" s="27">
        <v>23055.36</v>
      </c>
      <c r="L132" s="27">
        <v>4699.79</v>
      </c>
      <c r="M132" s="27">
        <v>7821.59</v>
      </c>
      <c r="N132" s="27">
        <v>6481.19</v>
      </c>
      <c r="O132" s="27">
        <v>4052.78</v>
      </c>
      <c r="P132" s="27">
        <v>0.0</v>
      </c>
      <c r="Q132" s="27">
        <v>0.0</v>
      </c>
      <c r="R132" s="27">
        <v>0.0</v>
      </c>
      <c r="S132" s="27">
        <v>0.0</v>
      </c>
      <c r="T132" s="27">
        <v>0.0</v>
      </c>
      <c r="U132" s="27">
        <v>23055.36</v>
      </c>
      <c r="V132" s="27">
        <v>1933.02</v>
      </c>
      <c r="W132" s="27">
        <v>352.89</v>
      </c>
      <c r="X132" s="27">
        <v>732.9</v>
      </c>
      <c r="Y132" s="27">
        <v>625.12</v>
      </c>
      <c r="Z132" s="27">
        <v>222.09</v>
      </c>
      <c r="AA132" s="27">
        <v>33.66</v>
      </c>
      <c r="AB132" s="27">
        <v>20.59</v>
      </c>
      <c r="AC132" s="27">
        <v>9.15</v>
      </c>
      <c r="AD132" s="27">
        <v>1.57</v>
      </c>
      <c r="AE132" s="27">
        <v>2.34</v>
      </c>
      <c r="AF132" s="27">
        <v>1966.68</v>
      </c>
      <c r="AG132" s="27"/>
      <c r="AH132" s="27"/>
      <c r="AI132" s="27"/>
      <c r="AJ132" s="27"/>
    </row>
    <row r="133" ht="25.5" customHeight="1">
      <c r="A133" s="23">
        <v>130.0</v>
      </c>
      <c r="B133" s="24">
        <v>46204.0</v>
      </c>
      <c r="C133" s="26" t="s">
        <v>2</v>
      </c>
      <c r="D133" s="26" t="s">
        <v>628</v>
      </c>
      <c r="E133" s="23" t="s">
        <v>629</v>
      </c>
      <c r="F133" s="23" t="s">
        <v>630</v>
      </c>
      <c r="G133" s="26"/>
      <c r="H133" s="26" t="s">
        <v>70</v>
      </c>
      <c r="I133" s="23" t="s">
        <v>81</v>
      </c>
      <c r="J133" s="23" t="s">
        <v>74</v>
      </c>
      <c r="K133" s="27">
        <v>17623.57</v>
      </c>
      <c r="L133" s="27">
        <v>4212.37</v>
      </c>
      <c r="M133" s="27">
        <v>5528.41</v>
      </c>
      <c r="N133" s="27">
        <v>4609.22</v>
      </c>
      <c r="O133" s="27">
        <v>3273.55</v>
      </c>
      <c r="P133" s="27">
        <v>0.0</v>
      </c>
      <c r="Q133" s="27">
        <v>0.0</v>
      </c>
      <c r="R133" s="27">
        <v>0.0</v>
      </c>
      <c r="S133" s="27">
        <v>0.0</v>
      </c>
      <c r="T133" s="27">
        <v>0.0</v>
      </c>
      <c r="U133" s="27">
        <v>17623.57</v>
      </c>
      <c r="V133" s="27">
        <v>461.56</v>
      </c>
      <c r="W133" s="27">
        <v>86.0</v>
      </c>
      <c r="X133" s="27">
        <v>163.51</v>
      </c>
      <c r="Y133" s="27">
        <v>154.37</v>
      </c>
      <c r="Z133" s="27">
        <v>57.67</v>
      </c>
      <c r="AA133" s="27">
        <v>253.89</v>
      </c>
      <c r="AB133" s="27">
        <v>92.58</v>
      </c>
      <c r="AC133" s="27">
        <v>70.22</v>
      </c>
      <c r="AD133" s="27">
        <v>45.74</v>
      </c>
      <c r="AE133" s="27">
        <v>45.33</v>
      </c>
      <c r="AF133" s="27">
        <v>715.45</v>
      </c>
      <c r="AG133" s="27"/>
      <c r="AH133" s="27"/>
      <c r="AI133" s="27"/>
      <c r="AJ133" s="27"/>
    </row>
    <row r="134" ht="25.5" customHeight="1">
      <c r="A134" s="23">
        <v>131.0</v>
      </c>
      <c r="B134" s="24">
        <v>46204.0</v>
      </c>
      <c r="C134" s="26" t="s">
        <v>2</v>
      </c>
      <c r="D134" s="26" t="s">
        <v>253</v>
      </c>
      <c r="E134" s="23" t="s">
        <v>257</v>
      </c>
      <c r="F134" s="23" t="s">
        <v>631</v>
      </c>
      <c r="G134" s="26"/>
      <c r="H134" s="26" t="s">
        <v>70</v>
      </c>
      <c r="I134" s="23" t="s">
        <v>99</v>
      </c>
      <c r="J134" s="23" t="s">
        <v>74</v>
      </c>
      <c r="K134" s="27">
        <v>1714.34</v>
      </c>
      <c r="L134" s="27">
        <v>425.41</v>
      </c>
      <c r="M134" s="27">
        <v>675.31</v>
      </c>
      <c r="N134" s="27">
        <v>478.62</v>
      </c>
      <c r="O134" s="27">
        <v>134.98</v>
      </c>
      <c r="P134" s="27">
        <v>0.08</v>
      </c>
      <c r="Q134" s="27">
        <v>0.03</v>
      </c>
      <c r="R134" s="27">
        <v>0.02</v>
      </c>
      <c r="S134" s="27">
        <v>0.02</v>
      </c>
      <c r="T134" s="27">
        <v>0.0</v>
      </c>
      <c r="U134" s="27">
        <v>1714.42</v>
      </c>
      <c r="V134" s="27">
        <v>80.36</v>
      </c>
      <c r="W134" s="27">
        <v>14.07</v>
      </c>
      <c r="X134" s="27">
        <v>25.56</v>
      </c>
      <c r="Y134" s="27">
        <v>26.5</v>
      </c>
      <c r="Z134" s="27">
        <v>14.21</v>
      </c>
      <c r="AA134" s="27">
        <v>171.37</v>
      </c>
      <c r="AB134" s="27">
        <v>51.02</v>
      </c>
      <c r="AC134" s="27">
        <v>56.36</v>
      </c>
      <c r="AD134" s="27">
        <v>44.45</v>
      </c>
      <c r="AE134" s="27">
        <v>19.52</v>
      </c>
      <c r="AF134" s="27">
        <v>251.73</v>
      </c>
      <c r="AG134" s="27"/>
      <c r="AH134" s="27"/>
      <c r="AI134" s="27"/>
      <c r="AJ134" s="27"/>
    </row>
    <row r="135" ht="25.5" customHeight="1">
      <c r="A135" s="23">
        <v>132.0</v>
      </c>
      <c r="B135" s="24">
        <v>46204.0</v>
      </c>
      <c r="C135" s="26" t="s">
        <v>2</v>
      </c>
      <c r="D135" s="26" t="s">
        <v>363</v>
      </c>
      <c r="E135" s="23" t="s">
        <v>364</v>
      </c>
      <c r="F135" s="23" t="s">
        <v>632</v>
      </c>
      <c r="G135" s="26"/>
      <c r="H135" s="26" t="s">
        <v>70</v>
      </c>
      <c r="I135" s="23" t="s">
        <v>81</v>
      </c>
      <c r="J135" s="23" t="s">
        <v>74</v>
      </c>
      <c r="K135" s="27">
        <v>22307.25</v>
      </c>
      <c r="L135" s="27">
        <v>4853.05</v>
      </c>
      <c r="M135" s="27">
        <v>7452.23</v>
      </c>
      <c r="N135" s="27">
        <v>6063.1</v>
      </c>
      <c r="O135" s="27">
        <v>3938.86</v>
      </c>
      <c r="P135" s="27">
        <v>0.0</v>
      </c>
      <c r="Q135" s="27">
        <v>0.0</v>
      </c>
      <c r="R135" s="27">
        <v>0.0</v>
      </c>
      <c r="S135" s="27">
        <v>0.0</v>
      </c>
      <c r="T135" s="27">
        <v>0.0</v>
      </c>
      <c r="U135" s="27">
        <v>22307.25</v>
      </c>
      <c r="V135" s="27">
        <v>1996.88</v>
      </c>
      <c r="W135" s="27">
        <v>401.03</v>
      </c>
      <c r="X135" s="27">
        <v>852.99</v>
      </c>
      <c r="Y135" s="27">
        <v>580.65</v>
      </c>
      <c r="Z135" s="27">
        <v>162.21</v>
      </c>
      <c r="AA135" s="27">
        <v>35.0</v>
      </c>
      <c r="AB135" s="27">
        <v>14.24</v>
      </c>
      <c r="AC135" s="27">
        <v>8.22</v>
      </c>
      <c r="AD135" s="27">
        <v>6.27</v>
      </c>
      <c r="AE135" s="27">
        <v>6.26</v>
      </c>
      <c r="AF135" s="27">
        <v>2031.88</v>
      </c>
      <c r="AG135" s="27"/>
      <c r="AH135" s="27"/>
      <c r="AI135" s="27"/>
      <c r="AJ135" s="27"/>
    </row>
    <row r="136" ht="25.5" customHeight="1">
      <c r="A136" s="23">
        <v>133.0</v>
      </c>
      <c r="B136" s="24">
        <v>46204.0</v>
      </c>
      <c r="C136" s="26" t="s">
        <v>2</v>
      </c>
      <c r="D136" s="26" t="s">
        <v>633</v>
      </c>
      <c r="E136" s="23" t="s">
        <v>634</v>
      </c>
      <c r="F136" s="23" t="s">
        <v>635</v>
      </c>
      <c r="G136" s="26"/>
      <c r="H136" s="26" t="s">
        <v>70</v>
      </c>
      <c r="I136" s="23" t="s">
        <v>107</v>
      </c>
      <c r="J136" s="23" t="s">
        <v>74</v>
      </c>
      <c r="K136" s="27">
        <v>20181.77</v>
      </c>
      <c r="L136" s="27">
        <v>4676.03</v>
      </c>
      <c r="M136" s="27">
        <v>6942.38</v>
      </c>
      <c r="N136" s="27">
        <v>5758.38</v>
      </c>
      <c r="O136" s="27">
        <v>2804.97</v>
      </c>
      <c r="P136" s="27">
        <v>0.04</v>
      </c>
      <c r="Q136" s="27">
        <v>0.01</v>
      </c>
      <c r="R136" s="27">
        <v>0.02</v>
      </c>
      <c r="S136" s="27">
        <v>0.0</v>
      </c>
      <c r="T136" s="27">
        <v>0.0</v>
      </c>
      <c r="U136" s="27">
        <v>20181.81</v>
      </c>
      <c r="V136" s="27">
        <v>6151.96</v>
      </c>
      <c r="W136" s="27">
        <v>1504.22</v>
      </c>
      <c r="X136" s="27">
        <v>2297.66</v>
      </c>
      <c r="Y136" s="27">
        <v>1813.91</v>
      </c>
      <c r="Z136" s="27">
        <v>536.16</v>
      </c>
      <c r="AA136" s="27">
        <v>219.08</v>
      </c>
      <c r="AB136" s="27">
        <v>61.39</v>
      </c>
      <c r="AC136" s="27">
        <v>48.94</v>
      </c>
      <c r="AD136" s="27">
        <v>42.51</v>
      </c>
      <c r="AE136" s="27">
        <v>66.23</v>
      </c>
      <c r="AF136" s="27">
        <v>6371.04</v>
      </c>
      <c r="AG136" s="27"/>
      <c r="AH136" s="27"/>
      <c r="AI136" s="27"/>
      <c r="AJ136" s="27"/>
    </row>
    <row r="137" ht="25.5" customHeight="1">
      <c r="A137" s="23">
        <v>134.0</v>
      </c>
      <c r="B137" s="24">
        <v>46204.0</v>
      </c>
      <c r="C137" s="26" t="s">
        <v>2</v>
      </c>
      <c r="D137" s="26" t="s">
        <v>636</v>
      </c>
      <c r="E137" s="23" t="s">
        <v>637</v>
      </c>
      <c r="F137" s="23" t="s">
        <v>638</v>
      </c>
      <c r="G137" s="26"/>
      <c r="H137" s="26" t="s">
        <v>70</v>
      </c>
      <c r="I137" s="23" t="s">
        <v>107</v>
      </c>
      <c r="J137" s="23" t="s">
        <v>74</v>
      </c>
      <c r="K137" s="27">
        <v>23904.63</v>
      </c>
      <c r="L137" s="27">
        <v>5406.23</v>
      </c>
      <c r="M137" s="27">
        <v>8199.88</v>
      </c>
      <c r="N137" s="27">
        <v>7034.65</v>
      </c>
      <c r="O137" s="27">
        <v>3263.86</v>
      </c>
      <c r="P137" s="27">
        <v>1.86</v>
      </c>
      <c r="Q137" s="27">
        <v>0.67</v>
      </c>
      <c r="R137" s="27">
        <v>0.58</v>
      </c>
      <c r="S137" s="27">
        <v>0.59</v>
      </c>
      <c r="T137" s="27">
        <v>0.0</v>
      </c>
      <c r="U137" s="27">
        <v>23906.49</v>
      </c>
      <c r="V137" s="27">
        <v>1116.59</v>
      </c>
      <c r="W137" s="27">
        <v>189.56</v>
      </c>
      <c r="X137" s="27">
        <v>447.38</v>
      </c>
      <c r="Y137" s="27">
        <v>401.36</v>
      </c>
      <c r="Z137" s="27">
        <v>78.27</v>
      </c>
      <c r="AA137" s="27">
        <v>356.24</v>
      </c>
      <c r="AB137" s="27">
        <v>85.86</v>
      </c>
      <c r="AC137" s="27">
        <v>75.82</v>
      </c>
      <c r="AD137" s="27">
        <v>69.05</v>
      </c>
      <c r="AE137" s="27">
        <v>125.5</v>
      </c>
      <c r="AF137" s="27">
        <v>1472.83</v>
      </c>
      <c r="AG137" s="27"/>
      <c r="AH137" s="27"/>
      <c r="AI137" s="27"/>
      <c r="AJ137" s="27"/>
    </row>
    <row r="138" ht="25.5" customHeight="1">
      <c r="A138" s="23">
        <v>135.0</v>
      </c>
      <c r="B138" s="24">
        <v>46204.0</v>
      </c>
      <c r="C138" s="26" t="s">
        <v>2</v>
      </c>
      <c r="D138" s="26" t="s">
        <v>639</v>
      </c>
      <c r="E138" s="23" t="s">
        <v>640</v>
      </c>
      <c r="F138" s="23" t="s">
        <v>641</v>
      </c>
      <c r="G138" s="26"/>
      <c r="H138" s="26" t="s">
        <v>70</v>
      </c>
      <c r="I138" s="23" t="s">
        <v>72</v>
      </c>
      <c r="J138" s="23" t="s">
        <v>74</v>
      </c>
      <c r="K138" s="27">
        <v>36129.3</v>
      </c>
      <c r="L138" s="27">
        <v>7989.85</v>
      </c>
      <c r="M138" s="27">
        <v>11932.88</v>
      </c>
      <c r="N138" s="27">
        <v>9964.89</v>
      </c>
      <c r="O138" s="27">
        <v>6241.67</v>
      </c>
      <c r="P138" s="27">
        <v>0.0</v>
      </c>
      <c r="Q138" s="27">
        <v>0.0</v>
      </c>
      <c r="R138" s="27">
        <v>0.0</v>
      </c>
      <c r="S138" s="27">
        <v>0.0</v>
      </c>
      <c r="T138" s="27">
        <v>0.0</v>
      </c>
      <c r="U138" s="27">
        <v>36129.3</v>
      </c>
      <c r="V138" s="27">
        <v>2819.29</v>
      </c>
      <c r="W138" s="27">
        <v>456.55</v>
      </c>
      <c r="X138" s="27">
        <v>1144.58</v>
      </c>
      <c r="Y138" s="27">
        <v>861.29</v>
      </c>
      <c r="Z138" s="27">
        <v>356.85</v>
      </c>
      <c r="AA138" s="27">
        <v>252.44</v>
      </c>
      <c r="AB138" s="27">
        <v>68.39</v>
      </c>
      <c r="AC138" s="27">
        <v>49.55</v>
      </c>
      <c r="AD138" s="27">
        <v>50.11</v>
      </c>
      <c r="AE138" s="27">
        <v>84.38</v>
      </c>
      <c r="AF138" s="27">
        <v>3071.73</v>
      </c>
      <c r="AG138" s="27"/>
      <c r="AH138" s="27"/>
      <c r="AI138" s="27"/>
      <c r="AJ138" s="27"/>
    </row>
    <row r="139" ht="25.5" customHeight="1">
      <c r="A139" s="23">
        <v>136.0</v>
      </c>
      <c r="B139" s="24">
        <v>46204.0</v>
      </c>
      <c r="C139" s="26" t="s">
        <v>2</v>
      </c>
      <c r="D139" s="26" t="s">
        <v>642</v>
      </c>
      <c r="E139" s="23" t="s">
        <v>643</v>
      </c>
      <c r="F139" s="23" t="s">
        <v>644</v>
      </c>
      <c r="G139" s="26"/>
      <c r="H139" s="26" t="s">
        <v>70</v>
      </c>
      <c r="I139" s="23" t="s">
        <v>107</v>
      </c>
      <c r="J139" s="23" t="s">
        <v>74</v>
      </c>
      <c r="K139" s="27">
        <v>20444.73</v>
      </c>
      <c r="L139" s="27">
        <v>1060.95</v>
      </c>
      <c r="M139" s="27">
        <v>8001.48</v>
      </c>
      <c r="N139" s="27">
        <v>6603.06</v>
      </c>
      <c r="O139" s="27">
        <v>4779.22</v>
      </c>
      <c r="P139" s="27">
        <v>0.0</v>
      </c>
      <c r="Q139" s="27">
        <v>0.0</v>
      </c>
      <c r="R139" s="27">
        <v>0.0</v>
      </c>
      <c r="S139" s="27">
        <v>0.0</v>
      </c>
      <c r="T139" s="27">
        <v>0.0</v>
      </c>
      <c r="U139" s="27">
        <v>20444.73</v>
      </c>
      <c r="V139" s="27">
        <v>1133.04</v>
      </c>
      <c r="W139" s="27">
        <v>48.78</v>
      </c>
      <c r="X139" s="27">
        <v>460.47</v>
      </c>
      <c r="Y139" s="27">
        <v>408.91</v>
      </c>
      <c r="Z139" s="27">
        <v>214.87</v>
      </c>
      <c r="AA139" s="27">
        <v>30.31</v>
      </c>
      <c r="AB139" s="27">
        <v>6.14</v>
      </c>
      <c r="AC139" s="27">
        <v>11.08</v>
      </c>
      <c r="AD139" s="27">
        <v>5.08</v>
      </c>
      <c r="AE139" s="27">
        <v>8.0</v>
      </c>
      <c r="AF139" s="27">
        <v>1163.35</v>
      </c>
      <c r="AG139" s="27"/>
      <c r="AH139" s="27"/>
      <c r="AI139" s="27"/>
      <c r="AJ139" s="27"/>
    </row>
    <row r="140" ht="25.5" customHeight="1">
      <c r="A140" s="23">
        <v>137.0</v>
      </c>
      <c r="B140" s="24">
        <v>46204.0</v>
      </c>
      <c r="C140" s="26" t="s">
        <v>2</v>
      </c>
      <c r="D140" s="26" t="s">
        <v>645</v>
      </c>
      <c r="E140" s="23" t="s">
        <v>646</v>
      </c>
      <c r="F140" s="23" t="s">
        <v>647</v>
      </c>
      <c r="G140" s="26"/>
      <c r="H140" s="26" t="s">
        <v>70</v>
      </c>
      <c r="I140" s="23" t="s">
        <v>107</v>
      </c>
      <c r="J140" s="23" t="s">
        <v>74</v>
      </c>
      <c r="K140" s="27">
        <v>310.34</v>
      </c>
      <c r="L140" s="27">
        <v>97.75</v>
      </c>
      <c r="M140" s="27">
        <v>117.66</v>
      </c>
      <c r="N140" s="27">
        <v>94.89</v>
      </c>
      <c r="O140" s="27">
        <v>0.03</v>
      </c>
      <c r="P140" s="27">
        <v>1977.21</v>
      </c>
      <c r="Q140" s="27">
        <v>289.85</v>
      </c>
      <c r="R140" s="27">
        <v>579.36</v>
      </c>
      <c r="S140" s="27">
        <v>491.3</v>
      </c>
      <c r="T140" s="27">
        <v>616.68</v>
      </c>
      <c r="U140" s="27">
        <v>2287.55</v>
      </c>
      <c r="V140" s="27">
        <v>23.14</v>
      </c>
      <c r="W140" s="27">
        <v>4.69</v>
      </c>
      <c r="X140" s="27">
        <v>6.72</v>
      </c>
      <c r="Y140" s="27">
        <v>8.23</v>
      </c>
      <c r="Z140" s="27">
        <v>3.49</v>
      </c>
      <c r="AA140" s="27">
        <v>118.82</v>
      </c>
      <c r="AB140" s="27">
        <v>16.71</v>
      </c>
      <c r="AC140" s="27">
        <v>54.98</v>
      </c>
      <c r="AD140" s="27">
        <v>27.47</v>
      </c>
      <c r="AE140" s="27">
        <v>19.65</v>
      </c>
      <c r="AF140" s="27">
        <v>141.96</v>
      </c>
      <c r="AG140" s="27"/>
      <c r="AH140" s="27"/>
      <c r="AI140" s="27"/>
      <c r="AJ140" s="27"/>
    </row>
    <row r="141" ht="25.5" customHeight="1">
      <c r="A141" s="23">
        <v>138.0</v>
      </c>
      <c r="B141" s="24">
        <v>46204.0</v>
      </c>
      <c r="C141" s="26" t="s">
        <v>2</v>
      </c>
      <c r="D141" s="26" t="s">
        <v>66</v>
      </c>
      <c r="E141" s="23" t="s">
        <v>73</v>
      </c>
      <c r="F141" s="23" t="s">
        <v>648</v>
      </c>
      <c r="G141" s="26"/>
      <c r="H141" s="26" t="s">
        <v>70</v>
      </c>
      <c r="I141" s="23" t="s">
        <v>72</v>
      </c>
      <c r="J141" s="23" t="s">
        <v>74</v>
      </c>
      <c r="K141" s="27">
        <v>2692.05</v>
      </c>
      <c r="L141" s="27">
        <v>627.06</v>
      </c>
      <c r="M141" s="27">
        <v>959.3</v>
      </c>
      <c r="N141" s="27">
        <v>795.43</v>
      </c>
      <c r="O141" s="27">
        <v>310.25</v>
      </c>
      <c r="P141" s="27">
        <v>7549.41</v>
      </c>
      <c r="Q141" s="27">
        <v>1551.19</v>
      </c>
      <c r="R141" s="27">
        <v>2484.39</v>
      </c>
      <c r="S141" s="27">
        <v>1995.57</v>
      </c>
      <c r="T141" s="27">
        <v>1518.25</v>
      </c>
      <c r="U141" s="27">
        <v>10241.46</v>
      </c>
      <c r="V141" s="27">
        <v>8768.83</v>
      </c>
      <c r="W141" s="27">
        <v>1656.15</v>
      </c>
      <c r="X141" s="27">
        <v>2719.82</v>
      </c>
      <c r="Y141" s="27">
        <v>2327.95</v>
      </c>
      <c r="Z141" s="27">
        <v>2064.89</v>
      </c>
      <c r="AA141" s="27">
        <v>2771.41</v>
      </c>
      <c r="AB141" s="27">
        <v>740.79</v>
      </c>
      <c r="AC141" s="27">
        <v>998.9</v>
      </c>
      <c r="AD141" s="27">
        <v>759.44</v>
      </c>
      <c r="AE141" s="27">
        <v>272.27</v>
      </c>
      <c r="AF141" s="27">
        <v>11540.24</v>
      </c>
      <c r="AG141" s="27"/>
      <c r="AH141" s="27"/>
      <c r="AI141" s="27"/>
      <c r="AJ141" s="27"/>
    </row>
    <row r="142" ht="25.5" customHeight="1">
      <c r="A142" s="23">
        <v>139.0</v>
      </c>
      <c r="B142" s="24">
        <v>46204.0</v>
      </c>
      <c r="C142" s="26" t="s">
        <v>2</v>
      </c>
      <c r="D142" s="26" t="s">
        <v>317</v>
      </c>
      <c r="E142" s="23" t="s">
        <v>318</v>
      </c>
      <c r="F142" s="23" t="s">
        <v>649</v>
      </c>
      <c r="G142" s="26"/>
      <c r="H142" s="26" t="s">
        <v>70</v>
      </c>
      <c r="I142" s="23" t="s">
        <v>107</v>
      </c>
      <c r="J142" s="23" t="s">
        <v>74</v>
      </c>
      <c r="K142" s="27">
        <v>34960.34</v>
      </c>
      <c r="L142" s="27">
        <v>7856.27</v>
      </c>
      <c r="M142" s="27">
        <v>11194.68</v>
      </c>
      <c r="N142" s="27">
        <v>9091.49</v>
      </c>
      <c r="O142" s="27">
        <v>6817.89</v>
      </c>
      <c r="P142" s="27">
        <v>0.0</v>
      </c>
      <c r="Q142" s="27">
        <v>0.0</v>
      </c>
      <c r="R142" s="27">
        <v>0.0</v>
      </c>
      <c r="S142" s="27">
        <v>0.0</v>
      </c>
      <c r="T142" s="27">
        <v>0.0</v>
      </c>
      <c r="U142" s="27">
        <v>34960.34</v>
      </c>
      <c r="V142" s="27">
        <v>1211.31</v>
      </c>
      <c r="W142" s="27">
        <v>213.39</v>
      </c>
      <c r="X142" s="27">
        <v>400.58</v>
      </c>
      <c r="Y142" s="27">
        <v>324.31</v>
      </c>
      <c r="Z142" s="27">
        <v>273.02</v>
      </c>
      <c r="AA142" s="27">
        <v>348.56</v>
      </c>
      <c r="AB142" s="27">
        <v>134.55</v>
      </c>
      <c r="AC142" s="27">
        <v>144.05</v>
      </c>
      <c r="AD142" s="27">
        <v>68.9</v>
      </c>
      <c r="AE142" s="27">
        <v>1.04</v>
      </c>
      <c r="AF142" s="27">
        <v>1559.87</v>
      </c>
      <c r="AG142" s="27"/>
      <c r="AH142" s="27"/>
      <c r="AI142" s="27"/>
      <c r="AJ142" s="27"/>
    </row>
    <row r="143" ht="25.5" customHeight="1">
      <c r="A143" s="23">
        <v>140.0</v>
      </c>
      <c r="B143" s="24">
        <v>46204.0</v>
      </c>
      <c r="C143" s="26" t="s">
        <v>2</v>
      </c>
      <c r="D143" s="26" t="s">
        <v>385</v>
      </c>
      <c r="E143" s="23" t="s">
        <v>386</v>
      </c>
      <c r="F143" s="23" t="s">
        <v>650</v>
      </c>
      <c r="G143" s="26"/>
      <c r="H143" s="26" t="s">
        <v>70</v>
      </c>
      <c r="I143" s="23" t="s">
        <v>81</v>
      </c>
      <c r="J143" s="23" t="s">
        <v>74</v>
      </c>
      <c r="K143" s="27">
        <v>6481.82</v>
      </c>
      <c r="L143" s="27">
        <v>1287.84</v>
      </c>
      <c r="M143" s="27">
        <v>2197.21</v>
      </c>
      <c r="N143" s="27">
        <v>1869.95</v>
      </c>
      <c r="O143" s="27">
        <v>1126.81</v>
      </c>
      <c r="P143" s="27">
        <v>0.0</v>
      </c>
      <c r="Q143" s="27">
        <v>0.0</v>
      </c>
      <c r="R143" s="27">
        <v>0.0</v>
      </c>
      <c r="S143" s="27">
        <v>0.0</v>
      </c>
      <c r="T143" s="27">
        <v>0.0</v>
      </c>
      <c r="U143" s="27">
        <v>6481.82</v>
      </c>
      <c r="V143" s="27">
        <v>512.77</v>
      </c>
      <c r="W143" s="27">
        <v>94.43</v>
      </c>
      <c r="X143" s="27">
        <v>200.51</v>
      </c>
      <c r="Y143" s="27">
        <v>164.97</v>
      </c>
      <c r="Z143" s="27">
        <v>52.84</v>
      </c>
      <c r="AA143" s="27">
        <v>72.31</v>
      </c>
      <c r="AB143" s="27">
        <v>14.22</v>
      </c>
      <c r="AC143" s="27">
        <v>12.37</v>
      </c>
      <c r="AD143" s="27">
        <v>19.33</v>
      </c>
      <c r="AE143" s="27">
        <v>26.38</v>
      </c>
      <c r="AF143" s="27">
        <v>585.08</v>
      </c>
      <c r="AG143" s="27"/>
      <c r="AH143" s="27"/>
      <c r="AI143" s="27"/>
      <c r="AJ143" s="27"/>
    </row>
    <row r="144" ht="25.5" customHeight="1">
      <c r="A144" s="23">
        <v>141.0</v>
      </c>
      <c r="B144" s="24">
        <v>46204.0</v>
      </c>
      <c r="C144" s="26" t="s">
        <v>2</v>
      </c>
      <c r="D144" s="26" t="s">
        <v>445</v>
      </c>
      <c r="E144" s="23" t="s">
        <v>446</v>
      </c>
      <c r="F144" s="23" t="s">
        <v>651</v>
      </c>
      <c r="G144" s="26"/>
      <c r="H144" s="26" t="s">
        <v>70</v>
      </c>
      <c r="I144" s="23" t="s">
        <v>72</v>
      </c>
      <c r="J144" s="23" t="s">
        <v>74</v>
      </c>
      <c r="K144" s="27">
        <v>582.19</v>
      </c>
      <c r="L144" s="27">
        <v>137.45</v>
      </c>
      <c r="M144" s="27">
        <v>194.97</v>
      </c>
      <c r="N144" s="27">
        <v>162.09</v>
      </c>
      <c r="O144" s="27">
        <v>87.66</v>
      </c>
      <c r="P144" s="27">
        <v>0.02</v>
      </c>
      <c r="Q144" s="27">
        <v>0.0</v>
      </c>
      <c r="R144" s="27">
        <v>0.01</v>
      </c>
      <c r="S144" s="27">
        <v>0.0</v>
      </c>
      <c r="T144" s="27">
        <v>0.0</v>
      </c>
      <c r="U144" s="27">
        <v>582.21</v>
      </c>
      <c r="V144" s="27">
        <v>7.94</v>
      </c>
      <c r="W144" s="27">
        <v>1.07</v>
      </c>
      <c r="X144" s="27">
        <v>3.33</v>
      </c>
      <c r="Y144" s="27">
        <v>3.16</v>
      </c>
      <c r="Z144" s="27">
        <v>0.36</v>
      </c>
      <c r="AA144" s="27">
        <v>65.17</v>
      </c>
      <c r="AB144" s="27">
        <v>16.16</v>
      </c>
      <c r="AC144" s="27">
        <v>20.88</v>
      </c>
      <c r="AD144" s="27">
        <v>16.95</v>
      </c>
      <c r="AE144" s="27">
        <v>11.16</v>
      </c>
      <c r="AF144" s="27">
        <v>73.11</v>
      </c>
      <c r="AG144" s="27"/>
      <c r="AH144" s="27"/>
      <c r="AI144" s="27"/>
      <c r="AJ144" s="27"/>
    </row>
    <row r="145" ht="25.5" customHeight="1">
      <c r="A145" s="23">
        <v>142.0</v>
      </c>
      <c r="B145" s="24">
        <v>46204.0</v>
      </c>
      <c r="C145" s="26" t="s">
        <v>2</v>
      </c>
      <c r="D145" s="26" t="s">
        <v>652</v>
      </c>
      <c r="E145" s="23" t="s">
        <v>653</v>
      </c>
      <c r="F145" s="23" t="s">
        <v>654</v>
      </c>
      <c r="G145" s="26"/>
      <c r="H145" s="26" t="s">
        <v>70</v>
      </c>
      <c r="I145" s="23" t="s">
        <v>107</v>
      </c>
      <c r="J145" s="23" t="s">
        <v>74</v>
      </c>
      <c r="K145" s="27">
        <v>11834.83</v>
      </c>
      <c r="L145" s="27">
        <v>1764.54</v>
      </c>
      <c r="M145" s="27">
        <v>3590.79</v>
      </c>
      <c r="N145" s="27">
        <v>2924.68</v>
      </c>
      <c r="O145" s="27">
        <v>3554.8</v>
      </c>
      <c r="P145" s="27">
        <v>411.49</v>
      </c>
      <c r="Q145" s="27">
        <v>130.76</v>
      </c>
      <c r="R145" s="27">
        <v>156.77</v>
      </c>
      <c r="S145" s="27">
        <v>123.95</v>
      </c>
      <c r="T145" s="27">
        <v>0.0</v>
      </c>
      <c r="U145" s="27">
        <v>12246.32</v>
      </c>
      <c r="V145" s="27">
        <v>1100.23</v>
      </c>
      <c r="W145" s="27">
        <v>174.99</v>
      </c>
      <c r="X145" s="27">
        <v>391.52</v>
      </c>
      <c r="Y145" s="27">
        <v>280.42</v>
      </c>
      <c r="Z145" s="27">
        <v>253.29</v>
      </c>
      <c r="AA145" s="27">
        <v>33.32</v>
      </c>
      <c r="AB145" s="27">
        <v>10.54</v>
      </c>
      <c r="AC145" s="27">
        <v>13.06</v>
      </c>
      <c r="AD145" s="27">
        <v>9.35</v>
      </c>
      <c r="AE145" s="27">
        <v>0.36</v>
      </c>
      <c r="AF145" s="27">
        <v>1133.55</v>
      </c>
      <c r="AG145" s="27"/>
      <c r="AH145" s="27"/>
      <c r="AI145" s="27"/>
      <c r="AJ145" s="27"/>
    </row>
    <row r="146" ht="25.5" customHeight="1">
      <c r="A146" s="23">
        <v>143.0</v>
      </c>
      <c r="B146" s="24">
        <v>46204.0</v>
      </c>
      <c r="C146" s="26" t="s">
        <v>2</v>
      </c>
      <c r="D146" s="26" t="s">
        <v>655</v>
      </c>
      <c r="E146" s="23" t="s">
        <v>656</v>
      </c>
      <c r="F146" s="23" t="s">
        <v>657</v>
      </c>
      <c r="G146" s="26"/>
      <c r="H146" s="26" t="s">
        <v>70</v>
      </c>
      <c r="I146" s="23" t="s">
        <v>72</v>
      </c>
      <c r="J146" s="23" t="s">
        <v>74</v>
      </c>
      <c r="K146" s="27">
        <v>21725.31</v>
      </c>
      <c r="L146" s="27">
        <v>4438.72</v>
      </c>
      <c r="M146" s="27">
        <v>6881.01</v>
      </c>
      <c r="N146" s="27">
        <v>5873.53</v>
      </c>
      <c r="O146" s="27">
        <v>4532.04</v>
      </c>
      <c r="P146" s="27">
        <v>764.27</v>
      </c>
      <c r="Q146" s="27">
        <v>213.24</v>
      </c>
      <c r="R146" s="27">
        <v>281.94</v>
      </c>
      <c r="S146" s="27">
        <v>269.07</v>
      </c>
      <c r="T146" s="27">
        <v>0.0</v>
      </c>
      <c r="U146" s="27">
        <v>22489.58</v>
      </c>
      <c r="V146" s="27">
        <v>1740.99</v>
      </c>
      <c r="W146" s="27">
        <v>370.89</v>
      </c>
      <c r="X146" s="27">
        <v>589.32</v>
      </c>
      <c r="Y146" s="27">
        <v>462.95</v>
      </c>
      <c r="Z146" s="27">
        <v>317.82</v>
      </c>
      <c r="AA146" s="27">
        <v>78.07</v>
      </c>
      <c r="AB146" s="27">
        <v>23.62</v>
      </c>
      <c r="AC146" s="27">
        <v>12.92</v>
      </c>
      <c r="AD146" s="27">
        <v>20.89</v>
      </c>
      <c r="AE146" s="27">
        <v>20.63</v>
      </c>
      <c r="AF146" s="27">
        <v>1819.06</v>
      </c>
      <c r="AG146" s="27"/>
      <c r="AH146" s="27"/>
      <c r="AI146" s="27"/>
      <c r="AJ146" s="27"/>
    </row>
    <row r="147" ht="25.5" customHeight="1">
      <c r="A147" s="23">
        <v>144.0</v>
      </c>
      <c r="B147" s="24">
        <v>46204.0</v>
      </c>
      <c r="C147" s="26" t="s">
        <v>2</v>
      </c>
      <c r="D147" s="26" t="s">
        <v>658</v>
      </c>
      <c r="E147" s="23" t="s">
        <v>659</v>
      </c>
      <c r="F147" s="23" t="s">
        <v>660</v>
      </c>
      <c r="G147" s="26"/>
      <c r="H147" s="26" t="s">
        <v>70</v>
      </c>
      <c r="I147" s="23" t="s">
        <v>72</v>
      </c>
      <c r="J147" s="23" t="s">
        <v>74</v>
      </c>
      <c r="K147" s="27">
        <v>35126.81</v>
      </c>
      <c r="L147" s="27">
        <v>7983.64</v>
      </c>
      <c r="M147" s="27">
        <v>11673.56</v>
      </c>
      <c r="N147" s="27">
        <v>9638.0</v>
      </c>
      <c r="O147" s="27">
        <v>5831.59</v>
      </c>
      <c r="P147" s="27">
        <v>0.02</v>
      </c>
      <c r="Q147" s="27">
        <v>0.0</v>
      </c>
      <c r="R147" s="27">
        <v>0.0</v>
      </c>
      <c r="S147" s="27">
        <v>0.02</v>
      </c>
      <c r="T147" s="27">
        <v>0.0</v>
      </c>
      <c r="U147" s="27">
        <v>35126.83</v>
      </c>
      <c r="V147" s="27">
        <v>2400.07</v>
      </c>
      <c r="W147" s="27">
        <v>490.97</v>
      </c>
      <c r="X147" s="27">
        <v>919.62</v>
      </c>
      <c r="Y147" s="27">
        <v>644.74</v>
      </c>
      <c r="Z147" s="27">
        <v>344.73</v>
      </c>
      <c r="AA147" s="27">
        <v>230.09</v>
      </c>
      <c r="AB147" s="27">
        <v>75.65</v>
      </c>
      <c r="AC147" s="27">
        <v>59.88</v>
      </c>
      <c r="AD147" s="27">
        <v>37.42</v>
      </c>
      <c r="AE147" s="27">
        <v>57.14</v>
      </c>
      <c r="AF147" s="27">
        <v>2630.16</v>
      </c>
      <c r="AG147" s="27"/>
      <c r="AH147" s="27"/>
      <c r="AI147" s="27"/>
      <c r="AJ147" s="27"/>
    </row>
    <row r="148" ht="25.5" customHeight="1">
      <c r="A148" s="23">
        <v>145.0</v>
      </c>
      <c r="B148" s="24">
        <v>46204.0</v>
      </c>
      <c r="C148" s="26" t="s">
        <v>2</v>
      </c>
      <c r="D148" s="26" t="s">
        <v>661</v>
      </c>
      <c r="E148" s="23" t="s">
        <v>662</v>
      </c>
      <c r="F148" s="23" t="s">
        <v>663</v>
      </c>
      <c r="G148" s="26"/>
      <c r="H148" s="26" t="s">
        <v>70</v>
      </c>
      <c r="I148" s="23" t="s">
        <v>72</v>
      </c>
      <c r="J148" s="23" t="s">
        <v>74</v>
      </c>
      <c r="K148" s="27">
        <v>14406.75</v>
      </c>
      <c r="L148" s="27">
        <v>3459.17</v>
      </c>
      <c r="M148" s="27">
        <v>4841.65</v>
      </c>
      <c r="N148" s="27">
        <v>3878.84</v>
      </c>
      <c r="O148" s="27">
        <v>2227.06</v>
      </c>
      <c r="P148" s="27">
        <v>0.0</v>
      </c>
      <c r="Q148" s="27">
        <v>0.0</v>
      </c>
      <c r="R148" s="27">
        <v>0.0</v>
      </c>
      <c r="S148" s="27">
        <v>0.0</v>
      </c>
      <c r="T148" s="27">
        <v>0.0</v>
      </c>
      <c r="U148" s="27">
        <v>14406.75</v>
      </c>
      <c r="V148" s="27">
        <v>669.55</v>
      </c>
      <c r="W148" s="27">
        <v>125.98</v>
      </c>
      <c r="X148" s="27">
        <v>249.0</v>
      </c>
      <c r="Y148" s="27">
        <v>209.22</v>
      </c>
      <c r="Z148" s="27">
        <v>85.34</v>
      </c>
      <c r="AA148" s="27">
        <v>231.06</v>
      </c>
      <c r="AB148" s="27">
        <v>67.34</v>
      </c>
      <c r="AC148" s="27">
        <v>76.26</v>
      </c>
      <c r="AD148" s="27">
        <v>51.45</v>
      </c>
      <c r="AE148" s="27">
        <v>35.99</v>
      </c>
      <c r="AF148" s="27">
        <v>900.61</v>
      </c>
      <c r="AG148" s="27"/>
      <c r="AH148" s="27"/>
      <c r="AI148" s="27"/>
      <c r="AJ148" s="27"/>
    </row>
    <row r="149" ht="25.5" customHeight="1">
      <c r="A149" s="23">
        <v>146.0</v>
      </c>
      <c r="B149" s="24">
        <v>46204.0</v>
      </c>
      <c r="C149" s="26" t="s">
        <v>2</v>
      </c>
      <c r="D149" s="26" t="s">
        <v>664</v>
      </c>
      <c r="E149" s="23" t="s">
        <v>665</v>
      </c>
      <c r="F149" s="23" t="s">
        <v>666</v>
      </c>
      <c r="G149" s="26"/>
      <c r="H149" s="26" t="s">
        <v>70</v>
      </c>
      <c r="I149" s="23" t="s">
        <v>81</v>
      </c>
      <c r="J149" s="23" t="s">
        <v>74</v>
      </c>
      <c r="K149" s="27">
        <v>15461.71</v>
      </c>
      <c r="L149" s="27">
        <v>3548.8</v>
      </c>
      <c r="M149" s="27">
        <v>5270.15</v>
      </c>
      <c r="N149" s="27">
        <v>4436.19</v>
      </c>
      <c r="O149" s="27">
        <v>2206.55</v>
      </c>
      <c r="P149" s="27">
        <v>0.0</v>
      </c>
      <c r="Q149" s="27">
        <v>0.0</v>
      </c>
      <c r="R149" s="27">
        <v>0.0</v>
      </c>
      <c r="S149" s="27">
        <v>0.0</v>
      </c>
      <c r="T149" s="27">
        <v>0.0</v>
      </c>
      <c r="U149" s="27">
        <v>15461.71</v>
      </c>
      <c r="V149" s="27">
        <v>1497.98</v>
      </c>
      <c r="W149" s="27">
        <v>231.88</v>
      </c>
      <c r="X149" s="27">
        <v>611.34</v>
      </c>
      <c r="Y149" s="27">
        <v>562.95</v>
      </c>
      <c r="Z149" s="27">
        <v>91.8</v>
      </c>
      <c r="AA149" s="27">
        <v>185.76</v>
      </c>
      <c r="AB149" s="27">
        <v>75.95</v>
      </c>
      <c r="AC149" s="27">
        <v>59.09</v>
      </c>
      <c r="AD149" s="27">
        <v>27.63</v>
      </c>
      <c r="AE149" s="27">
        <v>23.08</v>
      </c>
      <c r="AF149" s="27">
        <v>1683.74</v>
      </c>
      <c r="AG149" s="27"/>
      <c r="AH149" s="27"/>
      <c r="AI149" s="27"/>
      <c r="AJ149" s="27"/>
    </row>
    <row r="150" ht="25.5" customHeight="1">
      <c r="A150" s="23">
        <v>147.0</v>
      </c>
      <c r="B150" s="24">
        <v>46204.0</v>
      </c>
      <c r="C150" s="26" t="s">
        <v>2</v>
      </c>
      <c r="D150" s="26" t="s">
        <v>517</v>
      </c>
      <c r="E150" s="23" t="s">
        <v>518</v>
      </c>
      <c r="F150" s="23" t="s">
        <v>667</v>
      </c>
      <c r="G150" s="26"/>
      <c r="H150" s="26" t="s">
        <v>70</v>
      </c>
      <c r="I150" s="23" t="s">
        <v>99</v>
      </c>
      <c r="J150" s="23" t="s">
        <v>74</v>
      </c>
      <c r="K150" s="27">
        <v>4691.81</v>
      </c>
      <c r="L150" s="27">
        <v>769.28</v>
      </c>
      <c r="M150" s="27">
        <v>1529.82</v>
      </c>
      <c r="N150" s="27">
        <v>1222.39</v>
      </c>
      <c r="O150" s="27">
        <v>1170.31</v>
      </c>
      <c r="P150" s="27">
        <v>0.0</v>
      </c>
      <c r="Q150" s="27">
        <v>0.0</v>
      </c>
      <c r="R150" s="27">
        <v>0.0</v>
      </c>
      <c r="S150" s="27">
        <v>0.0</v>
      </c>
      <c r="T150" s="27">
        <v>0.0</v>
      </c>
      <c r="U150" s="27">
        <v>4691.81</v>
      </c>
      <c r="V150" s="27">
        <v>192.57</v>
      </c>
      <c r="W150" s="27">
        <v>29.99</v>
      </c>
      <c r="X150" s="27">
        <v>71.64</v>
      </c>
      <c r="Y150" s="27">
        <v>45.87</v>
      </c>
      <c r="Z150" s="27">
        <v>45.05</v>
      </c>
      <c r="AA150" s="27">
        <v>45.48</v>
      </c>
      <c r="AB150" s="27">
        <v>9.28</v>
      </c>
      <c r="AC150" s="27">
        <v>9.91</v>
      </c>
      <c r="AD150" s="27">
        <v>11.77</v>
      </c>
      <c r="AE150" s="27">
        <v>14.5</v>
      </c>
      <c r="AF150" s="27">
        <v>238.05</v>
      </c>
      <c r="AG150" s="27"/>
      <c r="AH150" s="27"/>
      <c r="AI150" s="27"/>
      <c r="AJ150" s="27"/>
    </row>
    <row r="151" ht="25.5" customHeight="1">
      <c r="A151" s="23">
        <v>148.0</v>
      </c>
      <c r="B151" s="24">
        <v>46204.0</v>
      </c>
      <c r="C151" s="26" t="s">
        <v>2</v>
      </c>
      <c r="D151" s="26" t="s">
        <v>668</v>
      </c>
      <c r="E151" s="23" t="s">
        <v>669</v>
      </c>
      <c r="F151" s="23" t="s">
        <v>670</v>
      </c>
      <c r="G151" s="26"/>
      <c r="H151" s="26" t="s">
        <v>70</v>
      </c>
      <c r="I151" s="23" t="s">
        <v>72</v>
      </c>
      <c r="J151" s="23" t="s">
        <v>74</v>
      </c>
      <c r="K151" s="27">
        <v>17485.25</v>
      </c>
      <c r="L151" s="27">
        <v>3013.17</v>
      </c>
      <c r="M151" s="27">
        <v>5838.78</v>
      </c>
      <c r="N151" s="27">
        <v>4921.56</v>
      </c>
      <c r="O151" s="27">
        <v>3711.73</v>
      </c>
      <c r="P151" s="27">
        <v>5.31</v>
      </c>
      <c r="Q151" s="27">
        <v>0.3</v>
      </c>
      <c r="R151" s="27">
        <v>1.51</v>
      </c>
      <c r="S151" s="27">
        <v>3.49</v>
      </c>
      <c r="T151" s="27">
        <v>0.0</v>
      </c>
      <c r="U151" s="27">
        <v>17490.56</v>
      </c>
      <c r="V151" s="27">
        <v>2270.85</v>
      </c>
      <c r="W151" s="27">
        <v>321.17</v>
      </c>
      <c r="X151" s="27">
        <v>908.93</v>
      </c>
      <c r="Y151" s="27">
        <v>701.66</v>
      </c>
      <c r="Z151" s="27">
        <v>339.08</v>
      </c>
      <c r="AA151" s="27">
        <v>62.5</v>
      </c>
      <c r="AB151" s="27">
        <v>22.49</v>
      </c>
      <c r="AC151" s="27">
        <v>14.44</v>
      </c>
      <c r="AD151" s="27">
        <v>7.9</v>
      </c>
      <c r="AE151" s="27">
        <v>17.64</v>
      </c>
      <c r="AF151" s="27">
        <v>2333.35</v>
      </c>
      <c r="AG151" s="27"/>
      <c r="AH151" s="27"/>
      <c r="AI151" s="27"/>
      <c r="AJ151" s="27"/>
    </row>
    <row r="152" ht="25.5" customHeight="1">
      <c r="A152" s="23">
        <v>149.0</v>
      </c>
      <c r="B152" s="24">
        <v>46204.0</v>
      </c>
      <c r="C152" s="26" t="s">
        <v>2</v>
      </c>
      <c r="D152" s="26" t="s">
        <v>541</v>
      </c>
      <c r="E152" s="23" t="s">
        <v>542</v>
      </c>
      <c r="F152" s="23" t="s">
        <v>671</v>
      </c>
      <c r="G152" s="26"/>
      <c r="H152" s="26" t="s">
        <v>70</v>
      </c>
      <c r="I152" s="23" t="s">
        <v>107</v>
      </c>
      <c r="J152" s="23" t="s">
        <v>74</v>
      </c>
      <c r="K152" s="27">
        <v>10999.23</v>
      </c>
      <c r="L152" s="27">
        <v>2524.47</v>
      </c>
      <c r="M152" s="27">
        <v>3558.48</v>
      </c>
      <c r="N152" s="27">
        <v>2989.87</v>
      </c>
      <c r="O152" s="27">
        <v>1926.4</v>
      </c>
      <c r="P152" s="27">
        <v>0.0</v>
      </c>
      <c r="Q152" s="27">
        <v>0.0</v>
      </c>
      <c r="R152" s="27">
        <v>0.0</v>
      </c>
      <c r="S152" s="27">
        <v>0.0</v>
      </c>
      <c r="T152" s="27">
        <v>0.0</v>
      </c>
      <c r="U152" s="27">
        <v>10999.23</v>
      </c>
      <c r="V152" s="27">
        <v>852.21</v>
      </c>
      <c r="W152" s="27">
        <v>189.47</v>
      </c>
      <c r="X152" s="27">
        <v>268.63</v>
      </c>
      <c r="Y152" s="27">
        <v>214.77</v>
      </c>
      <c r="Z152" s="27">
        <v>179.33</v>
      </c>
      <c r="AA152" s="27">
        <v>15.36</v>
      </c>
      <c r="AB152" s="27">
        <v>4.79</v>
      </c>
      <c r="AC152" s="27">
        <v>6.96</v>
      </c>
      <c r="AD152" s="27">
        <v>3.33</v>
      </c>
      <c r="AE152" s="27">
        <v>0.27</v>
      </c>
      <c r="AF152" s="27">
        <v>867.57</v>
      </c>
      <c r="AG152" s="27"/>
      <c r="AH152" s="27"/>
      <c r="AI152" s="27"/>
      <c r="AJ152" s="27"/>
    </row>
    <row r="153" ht="25.5" customHeight="1">
      <c r="A153" s="23">
        <v>150.0</v>
      </c>
      <c r="B153" s="24">
        <v>46204.0</v>
      </c>
      <c r="C153" s="26" t="s">
        <v>2</v>
      </c>
      <c r="D153" s="26" t="s">
        <v>672</v>
      </c>
      <c r="E153" s="23" t="s">
        <v>673</v>
      </c>
      <c r="F153" s="23" t="s">
        <v>674</v>
      </c>
      <c r="G153" s="26"/>
      <c r="H153" s="26" t="s">
        <v>70</v>
      </c>
      <c r="I153" s="23" t="s">
        <v>72</v>
      </c>
      <c r="J153" s="23" t="s">
        <v>74</v>
      </c>
      <c r="K153" s="27">
        <v>23739.13</v>
      </c>
      <c r="L153" s="27">
        <v>5103.38</v>
      </c>
      <c r="M153" s="27">
        <v>7702.12</v>
      </c>
      <c r="N153" s="27">
        <v>6478.76</v>
      </c>
      <c r="O153" s="27">
        <v>4454.86</v>
      </c>
      <c r="P153" s="27">
        <v>0.3</v>
      </c>
      <c r="Q153" s="27">
        <v>0.0</v>
      </c>
      <c r="R153" s="27">
        <v>0.3</v>
      </c>
      <c r="S153" s="27">
        <v>0.0</v>
      </c>
      <c r="T153" s="27">
        <v>0.0</v>
      </c>
      <c r="U153" s="27">
        <v>23739.43</v>
      </c>
      <c r="V153" s="27">
        <v>2358.73</v>
      </c>
      <c r="W153" s="27">
        <v>566.67</v>
      </c>
      <c r="X153" s="27">
        <v>989.99</v>
      </c>
      <c r="Y153" s="27">
        <v>691.01</v>
      </c>
      <c r="Z153" s="27">
        <v>111.04</v>
      </c>
      <c r="AA153" s="27">
        <v>297.35</v>
      </c>
      <c r="AB153" s="27">
        <v>61.87</v>
      </c>
      <c r="AC153" s="27">
        <v>69.86</v>
      </c>
      <c r="AD153" s="27">
        <v>70.34</v>
      </c>
      <c r="AE153" s="27">
        <v>95.26</v>
      </c>
      <c r="AF153" s="27">
        <v>2656.08</v>
      </c>
      <c r="AG153" s="27"/>
      <c r="AH153" s="27"/>
      <c r="AI153" s="27"/>
      <c r="AJ153" s="27"/>
    </row>
    <row r="154" ht="25.5" customHeight="1">
      <c r="A154" s="23">
        <v>151.0</v>
      </c>
      <c r="B154" s="24">
        <v>46204.0</v>
      </c>
      <c r="C154" s="26" t="s">
        <v>2</v>
      </c>
      <c r="D154" s="26" t="s">
        <v>675</v>
      </c>
      <c r="E154" s="23" t="s">
        <v>676</v>
      </c>
      <c r="F154" s="23" t="s">
        <v>677</v>
      </c>
      <c r="G154" s="26"/>
      <c r="H154" s="26" t="s">
        <v>70</v>
      </c>
      <c r="I154" s="23" t="s">
        <v>72</v>
      </c>
      <c r="J154" s="23" t="s">
        <v>74</v>
      </c>
      <c r="K154" s="27">
        <v>9659.19</v>
      </c>
      <c r="L154" s="27">
        <v>1908.91</v>
      </c>
      <c r="M154" s="27">
        <v>3081.71</v>
      </c>
      <c r="N154" s="27">
        <v>2733.57</v>
      </c>
      <c r="O154" s="27">
        <v>1934.98</v>
      </c>
      <c r="P154" s="27">
        <v>0.0</v>
      </c>
      <c r="Q154" s="27">
        <v>0.0</v>
      </c>
      <c r="R154" s="27">
        <v>0.0</v>
      </c>
      <c r="S154" s="27">
        <v>0.0</v>
      </c>
      <c r="T154" s="27">
        <v>0.0</v>
      </c>
      <c r="U154" s="27">
        <v>9659.19</v>
      </c>
      <c r="V154" s="27">
        <v>571.52</v>
      </c>
      <c r="W154" s="27">
        <v>97.01</v>
      </c>
      <c r="X154" s="27">
        <v>226.9</v>
      </c>
      <c r="Y154" s="27">
        <v>168.1</v>
      </c>
      <c r="Z154" s="27">
        <v>79.51</v>
      </c>
      <c r="AA154" s="27">
        <v>46.97</v>
      </c>
      <c r="AB154" s="27">
        <v>14.36</v>
      </c>
      <c r="AC154" s="27">
        <v>6.23</v>
      </c>
      <c r="AD154" s="27">
        <v>5.46</v>
      </c>
      <c r="AE154" s="27">
        <v>20.9</v>
      </c>
      <c r="AF154" s="27">
        <v>618.49</v>
      </c>
      <c r="AG154" s="27"/>
      <c r="AH154" s="27"/>
      <c r="AI154" s="27"/>
      <c r="AJ154" s="27"/>
    </row>
    <row r="155" ht="25.5" customHeight="1">
      <c r="A155" s="23">
        <v>152.0</v>
      </c>
      <c r="B155" s="24">
        <v>46204.0</v>
      </c>
      <c r="C155" s="26" t="s">
        <v>2</v>
      </c>
      <c r="D155" s="26" t="s">
        <v>432</v>
      </c>
      <c r="E155" s="23" t="s">
        <v>433</v>
      </c>
      <c r="F155" s="23" t="s">
        <v>678</v>
      </c>
      <c r="G155" s="26"/>
      <c r="H155" s="26" t="s">
        <v>70</v>
      </c>
      <c r="I155" s="23" t="s">
        <v>456</v>
      </c>
      <c r="J155" s="23" t="s">
        <v>74</v>
      </c>
      <c r="K155" s="27">
        <v>32570.73</v>
      </c>
      <c r="L155" s="27">
        <v>6980.87</v>
      </c>
      <c r="M155" s="27">
        <v>10715.67</v>
      </c>
      <c r="N155" s="27">
        <v>8964.78</v>
      </c>
      <c r="O155" s="27">
        <v>5909.4</v>
      </c>
      <c r="P155" s="27">
        <v>0.36</v>
      </c>
      <c r="Q155" s="27">
        <v>0.0</v>
      </c>
      <c r="R155" s="27">
        <v>0.34</v>
      </c>
      <c r="S155" s="27">
        <v>0.01</v>
      </c>
      <c r="T155" s="27">
        <v>0.0</v>
      </c>
      <c r="U155" s="27">
        <v>32571.09</v>
      </c>
      <c r="V155" s="27">
        <v>1184.94</v>
      </c>
      <c r="W155" s="27">
        <v>243.24</v>
      </c>
      <c r="X155" s="27">
        <v>444.47</v>
      </c>
      <c r="Y155" s="27">
        <v>360.01</v>
      </c>
      <c r="Z155" s="27">
        <v>137.2</v>
      </c>
      <c r="AA155" s="27">
        <v>253.55</v>
      </c>
      <c r="AB155" s="27">
        <v>75.8</v>
      </c>
      <c r="AC155" s="27">
        <v>59.07</v>
      </c>
      <c r="AD155" s="27">
        <v>56.52</v>
      </c>
      <c r="AE155" s="27">
        <v>62.15</v>
      </c>
      <c r="AF155" s="27">
        <v>1438.49</v>
      </c>
      <c r="AG155" s="27"/>
      <c r="AH155" s="27"/>
      <c r="AI155" s="27"/>
      <c r="AJ155" s="27"/>
    </row>
    <row r="156" ht="25.5" customHeight="1">
      <c r="A156" s="23">
        <v>153.0</v>
      </c>
      <c r="B156" s="24">
        <v>46204.0</v>
      </c>
      <c r="C156" s="26" t="s">
        <v>2</v>
      </c>
      <c r="D156" s="26" t="s">
        <v>679</v>
      </c>
      <c r="E156" s="23" t="s">
        <v>680</v>
      </c>
      <c r="F156" s="23" t="s">
        <v>681</v>
      </c>
      <c r="G156" s="26"/>
      <c r="H156" s="26" t="s">
        <v>70</v>
      </c>
      <c r="I156" s="23" t="s">
        <v>99</v>
      </c>
      <c r="J156" s="23" t="s">
        <v>74</v>
      </c>
      <c r="K156" s="27">
        <v>8936.85</v>
      </c>
      <c r="L156" s="27">
        <v>1986.36</v>
      </c>
      <c r="M156" s="27">
        <v>2925.39</v>
      </c>
      <c r="N156" s="27">
        <v>2552.4</v>
      </c>
      <c r="O156" s="27">
        <v>1472.68</v>
      </c>
      <c r="P156" s="27">
        <v>0.0</v>
      </c>
      <c r="Q156" s="27">
        <v>0.0</v>
      </c>
      <c r="R156" s="27">
        <v>0.0</v>
      </c>
      <c r="S156" s="27">
        <v>0.0</v>
      </c>
      <c r="T156" s="27">
        <v>0.0</v>
      </c>
      <c r="U156" s="27">
        <v>8936.85</v>
      </c>
      <c r="V156" s="27">
        <v>268.9</v>
      </c>
      <c r="W156" s="27">
        <v>51.41</v>
      </c>
      <c r="X156" s="27">
        <v>96.6</v>
      </c>
      <c r="Y156" s="27">
        <v>92.52</v>
      </c>
      <c r="Z156" s="27">
        <v>28.35</v>
      </c>
      <c r="AA156" s="27">
        <v>347.28</v>
      </c>
      <c r="AB156" s="27">
        <v>95.43</v>
      </c>
      <c r="AC156" s="27">
        <v>95.55</v>
      </c>
      <c r="AD156" s="27">
        <v>75.96</v>
      </c>
      <c r="AE156" s="27">
        <v>80.32</v>
      </c>
      <c r="AF156" s="27">
        <v>616.18</v>
      </c>
      <c r="AG156" s="27"/>
      <c r="AH156" s="27"/>
      <c r="AI156" s="27"/>
      <c r="AJ156" s="27"/>
    </row>
    <row r="157" ht="25.5" customHeight="1">
      <c r="A157" s="23">
        <v>154.0</v>
      </c>
      <c r="B157" s="24">
        <v>46204.0</v>
      </c>
      <c r="C157" s="26" t="s">
        <v>2</v>
      </c>
      <c r="D157" s="26" t="s">
        <v>397</v>
      </c>
      <c r="E157" s="23" t="s">
        <v>398</v>
      </c>
      <c r="F157" s="23" t="s">
        <v>682</v>
      </c>
      <c r="G157" s="26"/>
      <c r="H157" s="26" t="s">
        <v>70</v>
      </c>
      <c r="I157" s="23" t="s">
        <v>107</v>
      </c>
      <c r="J157" s="23" t="s">
        <v>74</v>
      </c>
      <c r="K157" s="27">
        <v>21827.72</v>
      </c>
      <c r="L157" s="27">
        <v>4923.13</v>
      </c>
      <c r="M157" s="27">
        <v>7306.38</v>
      </c>
      <c r="N157" s="27">
        <v>5912.53</v>
      </c>
      <c r="O157" s="27">
        <v>3685.67</v>
      </c>
      <c r="P157" s="27">
        <v>0.0</v>
      </c>
      <c r="Q157" s="27">
        <v>0.0</v>
      </c>
      <c r="R157" s="27">
        <v>0.0</v>
      </c>
      <c r="S157" s="27">
        <v>0.0</v>
      </c>
      <c r="T157" s="27">
        <v>0.0</v>
      </c>
      <c r="U157" s="27">
        <v>21827.72</v>
      </c>
      <c r="V157" s="27">
        <v>781.73</v>
      </c>
      <c r="W157" s="27">
        <v>144.7</v>
      </c>
      <c r="X157" s="27">
        <v>283.73</v>
      </c>
      <c r="Y157" s="27">
        <v>243.92</v>
      </c>
      <c r="Z157" s="27">
        <v>109.37</v>
      </c>
      <c r="AA157" s="27">
        <v>386.57</v>
      </c>
      <c r="AB157" s="27">
        <v>106.77</v>
      </c>
      <c r="AC157" s="27">
        <v>112.49</v>
      </c>
      <c r="AD157" s="27">
        <v>76.12</v>
      </c>
      <c r="AE157" s="27">
        <v>91.17</v>
      </c>
      <c r="AF157" s="27">
        <v>1168.3</v>
      </c>
      <c r="AG157" s="27"/>
      <c r="AH157" s="27"/>
      <c r="AI157" s="27"/>
      <c r="AJ157" s="27"/>
    </row>
    <row r="158" ht="25.5" customHeight="1">
      <c r="A158" s="23">
        <v>155.0</v>
      </c>
      <c r="B158" s="24">
        <v>46204.0</v>
      </c>
      <c r="C158" s="26" t="s">
        <v>2</v>
      </c>
      <c r="D158" s="26" t="s">
        <v>449</v>
      </c>
      <c r="E158" s="23" t="s">
        <v>450</v>
      </c>
      <c r="F158" s="23" t="s">
        <v>683</v>
      </c>
      <c r="G158" s="26"/>
      <c r="H158" s="26" t="s">
        <v>70</v>
      </c>
      <c r="I158" s="23" t="s">
        <v>107</v>
      </c>
      <c r="J158" s="23" t="s">
        <v>74</v>
      </c>
      <c r="K158" s="27">
        <v>7219.56</v>
      </c>
      <c r="L158" s="27">
        <v>1586.67</v>
      </c>
      <c r="M158" s="27">
        <v>2425.18</v>
      </c>
      <c r="N158" s="27">
        <v>2039.79</v>
      </c>
      <c r="O158" s="27">
        <v>1167.91</v>
      </c>
      <c r="P158" s="27">
        <v>0.0</v>
      </c>
      <c r="Q158" s="27">
        <v>0.0</v>
      </c>
      <c r="R158" s="27">
        <v>0.0</v>
      </c>
      <c r="S158" s="27">
        <v>0.0</v>
      </c>
      <c r="T158" s="27">
        <v>0.0</v>
      </c>
      <c r="U158" s="27">
        <v>7219.56</v>
      </c>
      <c r="V158" s="27">
        <v>512.78</v>
      </c>
      <c r="W158" s="27">
        <v>96.45</v>
      </c>
      <c r="X158" s="27">
        <v>179.29</v>
      </c>
      <c r="Y158" s="27">
        <v>157.8</v>
      </c>
      <c r="Z158" s="27">
        <v>79.23</v>
      </c>
      <c r="AA158" s="27">
        <v>127.67</v>
      </c>
      <c r="AB158" s="27">
        <v>40.89</v>
      </c>
      <c r="AC158" s="27">
        <v>33.95</v>
      </c>
      <c r="AD158" s="27">
        <v>27.93</v>
      </c>
      <c r="AE158" s="27">
        <v>24.87</v>
      </c>
      <c r="AF158" s="27">
        <v>640.45</v>
      </c>
      <c r="AG158" s="27"/>
      <c r="AH158" s="27"/>
      <c r="AI158" s="27"/>
      <c r="AJ158" s="27"/>
    </row>
    <row r="159" ht="25.5" customHeight="1">
      <c r="A159" s="23">
        <v>156.0</v>
      </c>
      <c r="B159" s="24">
        <v>46204.0</v>
      </c>
      <c r="C159" s="26" t="s">
        <v>2</v>
      </c>
      <c r="D159" s="26" t="s">
        <v>684</v>
      </c>
      <c r="E159" s="23" t="s">
        <v>685</v>
      </c>
      <c r="F159" s="23" t="s">
        <v>686</v>
      </c>
      <c r="G159" s="26"/>
      <c r="H159" s="26" t="s">
        <v>70</v>
      </c>
      <c r="I159" s="23" t="s">
        <v>72</v>
      </c>
      <c r="J159" s="23" t="s">
        <v>74</v>
      </c>
      <c r="K159" s="27">
        <v>2643.81</v>
      </c>
      <c r="L159" s="27">
        <v>671.03</v>
      </c>
      <c r="M159" s="27">
        <v>1140.49</v>
      </c>
      <c r="N159" s="27">
        <v>832.27</v>
      </c>
      <c r="O159" s="27">
        <v>0.0</v>
      </c>
      <c r="P159" s="27">
        <v>10956.91</v>
      </c>
      <c r="Q159" s="27">
        <v>1554.54</v>
      </c>
      <c r="R159" s="27">
        <v>3071.05</v>
      </c>
      <c r="S159" s="27">
        <v>3098.46</v>
      </c>
      <c r="T159" s="27">
        <v>3232.85</v>
      </c>
      <c r="U159" s="27">
        <v>13600.72</v>
      </c>
      <c r="V159" s="27">
        <v>294.7</v>
      </c>
      <c r="W159" s="27">
        <v>47.96</v>
      </c>
      <c r="X159" s="27">
        <v>62.21</v>
      </c>
      <c r="Y159" s="27">
        <v>96.92</v>
      </c>
      <c r="Z159" s="27">
        <v>87.59</v>
      </c>
      <c r="AA159" s="27">
        <v>698.45</v>
      </c>
      <c r="AB159" s="27">
        <v>106.22</v>
      </c>
      <c r="AC159" s="27">
        <v>267.71</v>
      </c>
      <c r="AD159" s="27">
        <v>135.0</v>
      </c>
      <c r="AE159" s="27">
        <v>189.5</v>
      </c>
      <c r="AF159" s="27">
        <v>993.15</v>
      </c>
      <c r="AG159" s="27"/>
      <c r="AH159" s="27"/>
      <c r="AI159" s="27"/>
      <c r="AJ159" s="27"/>
    </row>
    <row r="160" ht="25.5" customHeight="1">
      <c r="A160" s="23">
        <v>157.0</v>
      </c>
      <c r="B160" s="24">
        <v>46204.0</v>
      </c>
      <c r="C160" s="26" t="s">
        <v>2</v>
      </c>
      <c r="D160" s="26" t="s">
        <v>687</v>
      </c>
      <c r="E160" s="23" t="s">
        <v>688</v>
      </c>
      <c r="F160" s="23" t="s">
        <v>689</v>
      </c>
      <c r="G160" s="26"/>
      <c r="H160" s="26" t="s">
        <v>70</v>
      </c>
      <c r="I160" s="23" t="s">
        <v>72</v>
      </c>
      <c r="J160" s="23" t="s">
        <v>74</v>
      </c>
      <c r="K160" s="27">
        <v>10735.78</v>
      </c>
      <c r="L160" s="27">
        <v>2417.8</v>
      </c>
      <c r="M160" s="27">
        <v>3602.7</v>
      </c>
      <c r="N160" s="27">
        <v>2861.46</v>
      </c>
      <c r="O160" s="27">
        <v>1853.81</v>
      </c>
      <c r="P160" s="27">
        <v>0.0</v>
      </c>
      <c r="Q160" s="27">
        <v>0.0</v>
      </c>
      <c r="R160" s="27">
        <v>0.0</v>
      </c>
      <c r="S160" s="27">
        <v>0.0</v>
      </c>
      <c r="T160" s="27">
        <v>0.0</v>
      </c>
      <c r="U160" s="27">
        <v>10735.78</v>
      </c>
      <c r="V160" s="27">
        <v>893.1</v>
      </c>
      <c r="W160" s="27">
        <v>157.32</v>
      </c>
      <c r="X160" s="27">
        <v>379.41</v>
      </c>
      <c r="Y160" s="27">
        <v>296.54</v>
      </c>
      <c r="Z160" s="27">
        <v>59.81</v>
      </c>
      <c r="AA160" s="27">
        <v>86.82</v>
      </c>
      <c r="AB160" s="27">
        <v>25.47</v>
      </c>
      <c r="AC160" s="27">
        <v>21.56</v>
      </c>
      <c r="AD160" s="27">
        <v>17.48</v>
      </c>
      <c r="AE160" s="27">
        <v>22.31</v>
      </c>
      <c r="AF160" s="27">
        <v>979.92</v>
      </c>
      <c r="AG160" s="27"/>
      <c r="AH160" s="27"/>
      <c r="AI160" s="27"/>
      <c r="AJ160" s="27"/>
    </row>
    <row r="161" ht="25.5" customHeight="1">
      <c r="A161" s="23">
        <v>158.0</v>
      </c>
      <c r="B161" s="24">
        <v>46204.0</v>
      </c>
      <c r="C161" s="26" t="s">
        <v>2</v>
      </c>
      <c r="D161" s="26" t="s">
        <v>690</v>
      </c>
      <c r="E161" s="23" t="s">
        <v>691</v>
      </c>
      <c r="F161" s="23" t="s">
        <v>692</v>
      </c>
      <c r="G161" s="26"/>
      <c r="H161" s="26" t="s">
        <v>70</v>
      </c>
      <c r="I161" s="23" t="s">
        <v>99</v>
      </c>
      <c r="J161" s="23" t="s">
        <v>74</v>
      </c>
      <c r="K161" s="27">
        <v>11551.48</v>
      </c>
      <c r="L161" s="27">
        <v>2154.12</v>
      </c>
      <c r="M161" s="27">
        <v>3757.07</v>
      </c>
      <c r="N161" s="27">
        <v>2849.23</v>
      </c>
      <c r="O161" s="27">
        <v>2791.04</v>
      </c>
      <c r="P161" s="27">
        <v>0.1</v>
      </c>
      <c r="Q161" s="27">
        <v>0.0</v>
      </c>
      <c r="R161" s="27">
        <v>0.01</v>
      </c>
      <c r="S161" s="27">
        <v>0.09</v>
      </c>
      <c r="T161" s="27">
        <v>0.0</v>
      </c>
      <c r="U161" s="27">
        <v>11551.58</v>
      </c>
      <c r="V161" s="27">
        <v>987.13</v>
      </c>
      <c r="W161" s="27">
        <v>270.92</v>
      </c>
      <c r="X161" s="27">
        <v>324.54</v>
      </c>
      <c r="Y161" s="27">
        <v>281.76</v>
      </c>
      <c r="Z161" s="27">
        <v>109.89</v>
      </c>
      <c r="AA161" s="27">
        <v>165.64</v>
      </c>
      <c r="AB161" s="27">
        <v>20.62</v>
      </c>
      <c r="AC161" s="27">
        <v>46.82</v>
      </c>
      <c r="AD161" s="27">
        <v>37.12</v>
      </c>
      <c r="AE161" s="27">
        <v>61.06</v>
      </c>
      <c r="AF161" s="27">
        <v>1152.77</v>
      </c>
      <c r="AG161" s="27"/>
      <c r="AH161" s="27"/>
      <c r="AI161" s="27"/>
      <c r="AJ161" s="27"/>
    </row>
    <row r="162" ht="25.5" customHeight="1">
      <c r="A162" s="23">
        <v>159.0</v>
      </c>
      <c r="B162" s="24">
        <v>46204.0</v>
      </c>
      <c r="C162" s="26" t="s">
        <v>2</v>
      </c>
      <c r="D162" s="26" t="s">
        <v>693</v>
      </c>
      <c r="E162" s="23" t="s">
        <v>694</v>
      </c>
      <c r="F162" s="23" t="s">
        <v>695</v>
      </c>
      <c r="G162" s="26"/>
      <c r="H162" s="26" t="s">
        <v>70</v>
      </c>
      <c r="I162" s="23" t="s">
        <v>107</v>
      </c>
      <c r="J162" s="23" t="s">
        <v>74</v>
      </c>
      <c r="K162" s="27">
        <v>21506.22</v>
      </c>
      <c r="L162" s="27">
        <v>5337.49</v>
      </c>
      <c r="M162" s="27">
        <v>7101.84</v>
      </c>
      <c r="N162" s="27">
        <v>5941.11</v>
      </c>
      <c r="O162" s="27">
        <v>3125.78</v>
      </c>
      <c r="P162" s="27">
        <v>0.0</v>
      </c>
      <c r="Q162" s="27">
        <v>0.0</v>
      </c>
      <c r="R162" s="27">
        <v>0.0</v>
      </c>
      <c r="S162" s="27">
        <v>0.0</v>
      </c>
      <c r="T162" s="27">
        <v>0.0</v>
      </c>
      <c r="U162" s="27">
        <v>21506.22</v>
      </c>
      <c r="V162" s="27">
        <v>711.41</v>
      </c>
      <c r="W162" s="27">
        <v>155.2</v>
      </c>
      <c r="X162" s="27">
        <v>239.47</v>
      </c>
      <c r="Y162" s="27">
        <v>210.64</v>
      </c>
      <c r="Z162" s="27">
        <v>106.08</v>
      </c>
      <c r="AA162" s="27">
        <v>229.8</v>
      </c>
      <c r="AB162" s="27">
        <v>63.69</v>
      </c>
      <c r="AC162" s="27">
        <v>72.61</v>
      </c>
      <c r="AD162" s="27">
        <v>57.12</v>
      </c>
      <c r="AE162" s="27">
        <v>36.36</v>
      </c>
      <c r="AF162" s="27">
        <v>941.21</v>
      </c>
      <c r="AG162" s="27"/>
      <c r="AH162" s="27"/>
      <c r="AI162" s="27"/>
      <c r="AJ162" s="27"/>
    </row>
    <row r="163" ht="25.5" customHeight="1">
      <c r="A163" s="23">
        <v>160.0</v>
      </c>
      <c r="B163" s="24">
        <v>46204.0</v>
      </c>
      <c r="C163" s="26" t="s">
        <v>2</v>
      </c>
      <c r="D163" s="26" t="s">
        <v>696</v>
      </c>
      <c r="E163" s="23" t="s">
        <v>697</v>
      </c>
      <c r="F163" s="23" t="s">
        <v>698</v>
      </c>
      <c r="G163" s="26"/>
      <c r="H163" s="26" t="s">
        <v>70</v>
      </c>
      <c r="I163" s="23" t="s">
        <v>107</v>
      </c>
      <c r="J163" s="23" t="s">
        <v>74</v>
      </c>
      <c r="K163" s="27">
        <v>10254.65</v>
      </c>
      <c r="L163" s="27">
        <v>1939.15</v>
      </c>
      <c r="M163" s="27">
        <v>3380.92</v>
      </c>
      <c r="N163" s="27">
        <v>2804.08</v>
      </c>
      <c r="O163" s="27">
        <v>2130.48</v>
      </c>
      <c r="P163" s="27">
        <v>0.28</v>
      </c>
      <c r="Q163" s="27">
        <v>0.05</v>
      </c>
      <c r="R163" s="27">
        <v>0.02</v>
      </c>
      <c r="S163" s="27">
        <v>0.2</v>
      </c>
      <c r="T163" s="27">
        <v>0.0</v>
      </c>
      <c r="U163" s="27">
        <v>10254.93</v>
      </c>
      <c r="V163" s="27">
        <v>661.87</v>
      </c>
      <c r="W163" s="27">
        <v>121.25</v>
      </c>
      <c r="X163" s="27">
        <v>236.44</v>
      </c>
      <c r="Y163" s="27">
        <v>154.82</v>
      </c>
      <c r="Z163" s="27">
        <v>149.34</v>
      </c>
      <c r="AA163" s="27">
        <v>1144.62</v>
      </c>
      <c r="AB163" s="27">
        <v>300.12</v>
      </c>
      <c r="AC163" s="27">
        <v>484.77</v>
      </c>
      <c r="AD163" s="27">
        <v>354.26</v>
      </c>
      <c r="AE163" s="27">
        <v>5.45</v>
      </c>
      <c r="AF163" s="27">
        <v>1806.49</v>
      </c>
      <c r="AG163" s="27"/>
      <c r="AH163" s="27"/>
      <c r="AI163" s="27"/>
      <c r="AJ163" s="27"/>
    </row>
    <row r="164" ht="25.5" customHeight="1">
      <c r="A164" s="23">
        <v>161.0</v>
      </c>
      <c r="B164" s="24">
        <v>46204.0</v>
      </c>
      <c r="C164" s="26" t="s">
        <v>2</v>
      </c>
      <c r="D164" s="26" t="s">
        <v>699</v>
      </c>
      <c r="E164" s="23" t="s">
        <v>700</v>
      </c>
      <c r="F164" s="23" t="s">
        <v>701</v>
      </c>
      <c r="G164" s="26"/>
      <c r="H164" s="26" t="s">
        <v>70</v>
      </c>
      <c r="I164" s="23" t="s">
        <v>107</v>
      </c>
      <c r="J164" s="23" t="s">
        <v>74</v>
      </c>
      <c r="K164" s="27">
        <v>12959.71</v>
      </c>
      <c r="L164" s="27">
        <v>2885.42</v>
      </c>
      <c r="M164" s="27">
        <v>4269.82</v>
      </c>
      <c r="N164" s="27">
        <v>3417.94</v>
      </c>
      <c r="O164" s="27">
        <v>2386.52</v>
      </c>
      <c r="P164" s="27">
        <v>0.0</v>
      </c>
      <c r="Q164" s="27">
        <v>0.0</v>
      </c>
      <c r="R164" s="27">
        <v>0.0</v>
      </c>
      <c r="S164" s="27">
        <v>0.0</v>
      </c>
      <c r="T164" s="27">
        <v>0.0</v>
      </c>
      <c r="U164" s="27">
        <v>12959.71</v>
      </c>
      <c r="V164" s="27">
        <v>534.19</v>
      </c>
      <c r="W164" s="27">
        <v>116.3</v>
      </c>
      <c r="X164" s="27">
        <v>179.08</v>
      </c>
      <c r="Y164" s="27">
        <v>145.82</v>
      </c>
      <c r="Z164" s="27">
        <v>92.99</v>
      </c>
      <c r="AA164" s="27">
        <v>134.99</v>
      </c>
      <c r="AB164" s="27">
        <v>29.19</v>
      </c>
      <c r="AC164" s="27">
        <v>38.82</v>
      </c>
      <c r="AD164" s="27">
        <v>36.47</v>
      </c>
      <c r="AE164" s="27">
        <v>30.49</v>
      </c>
      <c r="AF164" s="27">
        <v>669.18</v>
      </c>
      <c r="AG164" s="27"/>
      <c r="AH164" s="27"/>
      <c r="AI164" s="27"/>
      <c r="AJ164" s="27"/>
    </row>
    <row r="165" ht="25.5" customHeight="1">
      <c r="A165" s="23">
        <v>162.0</v>
      </c>
      <c r="B165" s="24">
        <v>46204.0</v>
      </c>
      <c r="C165" s="26" t="s">
        <v>2</v>
      </c>
      <c r="D165" s="26" t="s">
        <v>132</v>
      </c>
      <c r="E165" s="23" t="s">
        <v>134</v>
      </c>
      <c r="F165" s="23" t="s">
        <v>702</v>
      </c>
      <c r="G165" s="26"/>
      <c r="H165" s="26" t="s">
        <v>70</v>
      </c>
      <c r="I165" s="23" t="s">
        <v>72</v>
      </c>
      <c r="J165" s="23" t="s">
        <v>74</v>
      </c>
      <c r="K165" s="27">
        <v>5992.0</v>
      </c>
      <c r="L165" s="27">
        <v>1264.84</v>
      </c>
      <c r="M165" s="27">
        <v>1897.22</v>
      </c>
      <c r="N165" s="27">
        <v>1474.81</v>
      </c>
      <c r="O165" s="27">
        <v>1355.11</v>
      </c>
      <c r="P165" s="27">
        <v>0.01</v>
      </c>
      <c r="Q165" s="27">
        <v>0.0</v>
      </c>
      <c r="R165" s="27">
        <v>0.0</v>
      </c>
      <c r="S165" s="27">
        <v>0.0</v>
      </c>
      <c r="T165" s="27">
        <v>0.0</v>
      </c>
      <c r="U165" s="27">
        <v>5992.01</v>
      </c>
      <c r="V165" s="27">
        <v>489.33</v>
      </c>
      <c r="W165" s="27">
        <v>69.18</v>
      </c>
      <c r="X165" s="27">
        <v>157.26</v>
      </c>
      <c r="Y165" s="27">
        <v>111.69</v>
      </c>
      <c r="Z165" s="27">
        <v>151.18</v>
      </c>
      <c r="AA165" s="27">
        <v>44.25</v>
      </c>
      <c r="AB165" s="27">
        <v>18.29</v>
      </c>
      <c r="AC165" s="27">
        <v>13.99</v>
      </c>
      <c r="AD165" s="27">
        <v>7.87</v>
      </c>
      <c r="AE165" s="27">
        <v>4.09</v>
      </c>
      <c r="AF165" s="27">
        <v>533.58</v>
      </c>
      <c r="AG165" s="27"/>
      <c r="AH165" s="27"/>
      <c r="AI165" s="27"/>
      <c r="AJ165" s="27"/>
    </row>
    <row r="166" ht="25.5" customHeight="1">
      <c r="A166" s="23">
        <v>163.0</v>
      </c>
      <c r="B166" s="24">
        <v>46204.0</v>
      </c>
      <c r="C166" s="26" t="s">
        <v>2</v>
      </c>
      <c r="D166" s="26" t="s">
        <v>703</v>
      </c>
      <c r="E166" s="23" t="s">
        <v>704</v>
      </c>
      <c r="F166" s="23" t="s">
        <v>705</v>
      </c>
      <c r="G166" s="26"/>
      <c r="H166" s="26" t="s">
        <v>70</v>
      </c>
      <c r="I166" s="23" t="s">
        <v>107</v>
      </c>
      <c r="J166" s="23" t="s">
        <v>74</v>
      </c>
      <c r="K166" s="27">
        <v>27470.93</v>
      </c>
      <c r="L166" s="27">
        <v>6273.77</v>
      </c>
      <c r="M166" s="27">
        <v>9138.6</v>
      </c>
      <c r="N166" s="27">
        <v>7425.02</v>
      </c>
      <c r="O166" s="27">
        <v>4633.51</v>
      </c>
      <c r="P166" s="27">
        <v>0.0</v>
      </c>
      <c r="Q166" s="27">
        <v>0.0</v>
      </c>
      <c r="R166" s="27">
        <v>0.0</v>
      </c>
      <c r="S166" s="27">
        <v>0.0</v>
      </c>
      <c r="T166" s="27">
        <v>0.0</v>
      </c>
      <c r="U166" s="27">
        <v>27470.93</v>
      </c>
      <c r="V166" s="27">
        <v>673.44</v>
      </c>
      <c r="W166" s="27">
        <v>119.69</v>
      </c>
      <c r="X166" s="27">
        <v>247.46</v>
      </c>
      <c r="Y166" s="27">
        <v>205.46</v>
      </c>
      <c r="Z166" s="27">
        <v>100.82</v>
      </c>
      <c r="AA166" s="27">
        <v>298.73</v>
      </c>
      <c r="AB166" s="27">
        <v>82.31</v>
      </c>
      <c r="AC166" s="27">
        <v>83.34</v>
      </c>
      <c r="AD166" s="27">
        <v>71.57</v>
      </c>
      <c r="AE166" s="27">
        <v>61.48</v>
      </c>
      <c r="AF166" s="27">
        <v>972.17</v>
      </c>
      <c r="AG166" s="27"/>
      <c r="AH166" s="27"/>
      <c r="AI166" s="27"/>
      <c r="AJ166" s="27"/>
    </row>
    <row r="167" ht="25.5" customHeight="1">
      <c r="A167" s="23">
        <v>164.0</v>
      </c>
      <c r="B167" s="24">
        <v>46204.0</v>
      </c>
      <c r="C167" s="26" t="s">
        <v>2</v>
      </c>
      <c r="D167" s="26" t="s">
        <v>706</v>
      </c>
      <c r="E167" s="23" t="s">
        <v>707</v>
      </c>
      <c r="F167" s="23" t="s">
        <v>708</v>
      </c>
      <c r="G167" s="26"/>
      <c r="H167" s="26" t="s">
        <v>70</v>
      </c>
      <c r="I167" s="23" t="s">
        <v>72</v>
      </c>
      <c r="J167" s="23" t="s">
        <v>74</v>
      </c>
      <c r="K167" s="27">
        <v>2847.26</v>
      </c>
      <c r="L167" s="27">
        <v>527.53</v>
      </c>
      <c r="M167" s="27">
        <v>826.58</v>
      </c>
      <c r="N167" s="27">
        <v>793.64</v>
      </c>
      <c r="O167" s="27">
        <v>699.49</v>
      </c>
      <c r="P167" s="27">
        <v>5440.27</v>
      </c>
      <c r="Q167" s="27">
        <v>816.22</v>
      </c>
      <c r="R167" s="27">
        <v>1576.28</v>
      </c>
      <c r="S167" s="27">
        <v>1415.63</v>
      </c>
      <c r="T167" s="27">
        <v>1632.13</v>
      </c>
      <c r="U167" s="27">
        <v>8287.53</v>
      </c>
      <c r="V167" s="27">
        <v>282.18</v>
      </c>
      <c r="W167" s="27">
        <v>50.78</v>
      </c>
      <c r="X167" s="27">
        <v>80.63</v>
      </c>
      <c r="Y167" s="27">
        <v>70.85</v>
      </c>
      <c r="Z167" s="27">
        <v>79.9</v>
      </c>
      <c r="AA167" s="27">
        <v>530.11</v>
      </c>
      <c r="AB167" s="27">
        <v>69.7</v>
      </c>
      <c r="AC167" s="27">
        <v>184.97</v>
      </c>
      <c r="AD167" s="27">
        <v>127.39</v>
      </c>
      <c r="AE167" s="27">
        <v>148.04</v>
      </c>
      <c r="AF167" s="27">
        <v>812.29</v>
      </c>
      <c r="AG167" s="27"/>
      <c r="AH167" s="27"/>
      <c r="AI167" s="27"/>
      <c r="AJ167" s="27"/>
    </row>
    <row r="168" ht="25.5" customHeight="1">
      <c r="A168" s="23">
        <v>165.0</v>
      </c>
      <c r="B168" s="24">
        <v>46204.0</v>
      </c>
      <c r="C168" s="26" t="s">
        <v>2</v>
      </c>
      <c r="D168" s="26" t="s">
        <v>162</v>
      </c>
      <c r="E168" s="23" t="s">
        <v>709</v>
      </c>
      <c r="F168" s="23" t="s">
        <v>710</v>
      </c>
      <c r="G168" s="26"/>
      <c r="H168" s="26" t="s">
        <v>70</v>
      </c>
      <c r="I168" s="23" t="s">
        <v>72</v>
      </c>
      <c r="J168" s="23" t="s">
        <v>74</v>
      </c>
      <c r="K168" s="27">
        <v>9975.15</v>
      </c>
      <c r="L168" s="27">
        <v>2359.91</v>
      </c>
      <c r="M168" s="27">
        <v>3331.53</v>
      </c>
      <c r="N168" s="27">
        <v>2864.34</v>
      </c>
      <c r="O168" s="27">
        <v>1419.35</v>
      </c>
      <c r="P168" s="27">
        <v>267.81</v>
      </c>
      <c r="Q168" s="27">
        <v>84.91</v>
      </c>
      <c r="R168" s="27">
        <v>103.77</v>
      </c>
      <c r="S168" s="27">
        <v>79.12</v>
      </c>
      <c r="T168" s="27">
        <v>0.0</v>
      </c>
      <c r="U168" s="27">
        <v>10242.96</v>
      </c>
      <c r="V168" s="27">
        <v>663.14</v>
      </c>
      <c r="W168" s="27">
        <v>134.13</v>
      </c>
      <c r="X168" s="27">
        <v>229.91</v>
      </c>
      <c r="Y168" s="27">
        <v>198.21</v>
      </c>
      <c r="Z168" s="27">
        <v>100.88</v>
      </c>
      <c r="AA168" s="27">
        <v>118.53</v>
      </c>
      <c r="AB168" s="27">
        <v>37.9</v>
      </c>
      <c r="AC168" s="27">
        <v>34.66</v>
      </c>
      <c r="AD168" s="27">
        <v>23.9</v>
      </c>
      <c r="AE168" s="27">
        <v>22.06</v>
      </c>
      <c r="AF168" s="27">
        <v>781.67</v>
      </c>
      <c r="AG168" s="27"/>
      <c r="AH168" s="27"/>
      <c r="AI168" s="27"/>
      <c r="AJ168" s="27"/>
    </row>
    <row r="169" ht="25.5" customHeight="1">
      <c r="A169" s="23">
        <v>166.0</v>
      </c>
      <c r="B169" s="24">
        <v>46204.0</v>
      </c>
      <c r="C169" s="26" t="s">
        <v>2</v>
      </c>
      <c r="D169" s="26" t="s">
        <v>228</v>
      </c>
      <c r="E169" s="23" t="s">
        <v>229</v>
      </c>
      <c r="F169" s="23" t="s">
        <v>711</v>
      </c>
      <c r="G169" s="26"/>
      <c r="H169" s="26" t="s">
        <v>70</v>
      </c>
      <c r="I169" s="23" t="s">
        <v>107</v>
      </c>
      <c r="J169" s="23" t="s">
        <v>74</v>
      </c>
      <c r="K169" s="27">
        <v>27843.66</v>
      </c>
      <c r="L169" s="27">
        <v>7161.04</v>
      </c>
      <c r="M169" s="27">
        <v>9269.83</v>
      </c>
      <c r="N169" s="27">
        <v>7310.19</v>
      </c>
      <c r="O169" s="27">
        <v>4102.58</v>
      </c>
      <c r="P169" s="27">
        <v>747.37</v>
      </c>
      <c r="Q169" s="27">
        <v>97.59</v>
      </c>
      <c r="R169" s="27">
        <v>218.21</v>
      </c>
      <c r="S169" s="27">
        <v>176.07</v>
      </c>
      <c r="T169" s="27">
        <v>255.48</v>
      </c>
      <c r="U169" s="27">
        <v>28591.03</v>
      </c>
      <c r="V169" s="27">
        <v>2041.43</v>
      </c>
      <c r="W169" s="27">
        <v>488.56</v>
      </c>
      <c r="X169" s="27">
        <v>671.13</v>
      </c>
      <c r="Y169" s="27">
        <v>582.6</v>
      </c>
      <c r="Z169" s="27">
        <v>299.13</v>
      </c>
      <c r="AA169" s="27">
        <v>15.67</v>
      </c>
      <c r="AB169" s="27">
        <v>2.25</v>
      </c>
      <c r="AC169" s="27">
        <v>5.16</v>
      </c>
      <c r="AD169" s="27">
        <v>2.95</v>
      </c>
      <c r="AE169" s="27">
        <v>5.29</v>
      </c>
      <c r="AF169" s="27">
        <v>2057.1</v>
      </c>
      <c r="AG169" s="27"/>
      <c r="AH169" s="27"/>
      <c r="AI169" s="27"/>
      <c r="AJ169" s="27"/>
    </row>
    <row r="170" ht="25.5" customHeight="1">
      <c r="A170" s="23">
        <v>167.0</v>
      </c>
      <c r="B170" s="24">
        <v>46204.0</v>
      </c>
      <c r="C170" s="26" t="s">
        <v>2</v>
      </c>
      <c r="D170" s="26" t="s">
        <v>307</v>
      </c>
      <c r="E170" s="23" t="s">
        <v>308</v>
      </c>
      <c r="F170" s="23" t="s">
        <v>712</v>
      </c>
      <c r="G170" s="26"/>
      <c r="H170" s="26" t="s">
        <v>70</v>
      </c>
      <c r="I170" s="23" t="s">
        <v>107</v>
      </c>
      <c r="J170" s="23" t="s">
        <v>74</v>
      </c>
      <c r="K170" s="27">
        <v>30106.49</v>
      </c>
      <c r="L170" s="27">
        <v>7756.36</v>
      </c>
      <c r="M170" s="27">
        <v>11168.9</v>
      </c>
      <c r="N170" s="27">
        <v>8780.71</v>
      </c>
      <c r="O170" s="27">
        <v>2400.52</v>
      </c>
      <c r="P170" s="27">
        <v>4521.06</v>
      </c>
      <c r="Q170" s="27">
        <v>706.53</v>
      </c>
      <c r="R170" s="27">
        <v>1351.38</v>
      </c>
      <c r="S170" s="27">
        <v>1018.97</v>
      </c>
      <c r="T170" s="27">
        <v>1444.16</v>
      </c>
      <c r="U170" s="27">
        <v>34627.55</v>
      </c>
      <c r="V170" s="27">
        <v>10524.89</v>
      </c>
      <c r="W170" s="27">
        <v>1777.59</v>
      </c>
      <c r="X170" s="27">
        <v>3493.72</v>
      </c>
      <c r="Y170" s="27">
        <v>2888.07</v>
      </c>
      <c r="Z170" s="27">
        <v>2365.5</v>
      </c>
      <c r="AA170" s="27">
        <v>614.48</v>
      </c>
      <c r="AB170" s="27">
        <v>54.41</v>
      </c>
      <c r="AC170" s="27">
        <v>193.81</v>
      </c>
      <c r="AD170" s="27">
        <v>124.4</v>
      </c>
      <c r="AE170" s="27">
        <v>241.85</v>
      </c>
      <c r="AF170" s="27">
        <v>11139.37</v>
      </c>
      <c r="AG170" s="27"/>
      <c r="AH170" s="27"/>
      <c r="AI170" s="27"/>
      <c r="AJ170" s="27"/>
    </row>
    <row r="171" ht="25.5" customHeight="1">
      <c r="A171" s="23">
        <v>168.0</v>
      </c>
      <c r="B171" s="24">
        <v>46204.0</v>
      </c>
      <c r="C171" s="26" t="s">
        <v>2</v>
      </c>
      <c r="D171" s="26" t="s">
        <v>713</v>
      </c>
      <c r="E171" s="23" t="s">
        <v>714</v>
      </c>
      <c r="F171" s="23" t="s">
        <v>715</v>
      </c>
      <c r="G171" s="26"/>
      <c r="H171" s="26" t="s">
        <v>70</v>
      </c>
      <c r="I171" s="23" t="s">
        <v>107</v>
      </c>
      <c r="J171" s="23" t="s">
        <v>74</v>
      </c>
      <c r="K171" s="27">
        <v>16678.77</v>
      </c>
      <c r="L171" s="27">
        <v>3794.81</v>
      </c>
      <c r="M171" s="27">
        <v>5473.44</v>
      </c>
      <c r="N171" s="27">
        <v>4644.74</v>
      </c>
      <c r="O171" s="27">
        <v>2765.77</v>
      </c>
      <c r="P171" s="27">
        <v>0.0</v>
      </c>
      <c r="Q171" s="27">
        <v>0.0</v>
      </c>
      <c r="R171" s="27">
        <v>0.0</v>
      </c>
      <c r="S171" s="27">
        <v>0.0</v>
      </c>
      <c r="T171" s="27">
        <v>0.0</v>
      </c>
      <c r="U171" s="27">
        <v>16678.77</v>
      </c>
      <c r="V171" s="27">
        <v>510.23</v>
      </c>
      <c r="W171" s="27">
        <v>94.91</v>
      </c>
      <c r="X171" s="27">
        <v>192.12</v>
      </c>
      <c r="Y171" s="27">
        <v>167.95</v>
      </c>
      <c r="Z171" s="27">
        <v>55.23</v>
      </c>
      <c r="AA171" s="27">
        <v>1002.76</v>
      </c>
      <c r="AB171" s="27">
        <v>168.69</v>
      </c>
      <c r="AC171" s="27">
        <v>261.01</v>
      </c>
      <c r="AD171" s="27">
        <v>243.64</v>
      </c>
      <c r="AE171" s="27">
        <v>329.41</v>
      </c>
      <c r="AF171" s="27">
        <v>1512.99</v>
      </c>
      <c r="AG171" s="27"/>
      <c r="AH171" s="27"/>
      <c r="AI171" s="27"/>
      <c r="AJ171" s="27"/>
    </row>
    <row r="172" ht="25.5" customHeight="1">
      <c r="A172" s="23">
        <v>169.0</v>
      </c>
      <c r="B172" s="24">
        <v>46204.0</v>
      </c>
      <c r="C172" s="26" t="s">
        <v>2</v>
      </c>
      <c r="D172" s="26" t="s">
        <v>716</v>
      </c>
      <c r="E172" s="23" t="s">
        <v>717</v>
      </c>
      <c r="F172" s="23" t="s">
        <v>718</v>
      </c>
      <c r="G172" s="26"/>
      <c r="H172" s="26" t="s">
        <v>70</v>
      </c>
      <c r="I172" s="23" t="s">
        <v>107</v>
      </c>
      <c r="J172" s="23" t="s">
        <v>74</v>
      </c>
      <c r="K172" s="27">
        <v>1571.94</v>
      </c>
      <c r="L172" s="27">
        <v>440.15</v>
      </c>
      <c r="M172" s="27">
        <v>675.46</v>
      </c>
      <c r="N172" s="27">
        <v>453.05</v>
      </c>
      <c r="O172" s="27">
        <v>3.26</v>
      </c>
      <c r="P172" s="27">
        <v>5263.33</v>
      </c>
      <c r="Q172" s="27">
        <v>1058.47</v>
      </c>
      <c r="R172" s="27">
        <v>1769.68</v>
      </c>
      <c r="S172" s="27">
        <v>1569.35</v>
      </c>
      <c r="T172" s="27">
        <v>865.82</v>
      </c>
      <c r="U172" s="27">
        <v>6835.27</v>
      </c>
      <c r="V172" s="27">
        <v>219.62</v>
      </c>
      <c r="W172" s="27">
        <v>55.86</v>
      </c>
      <c r="X172" s="27">
        <v>66.25</v>
      </c>
      <c r="Y172" s="27">
        <v>70.54</v>
      </c>
      <c r="Z172" s="27">
        <v>26.95</v>
      </c>
      <c r="AA172" s="27">
        <v>362.92</v>
      </c>
      <c r="AB172" s="27">
        <v>93.99</v>
      </c>
      <c r="AC172" s="27">
        <v>131.52</v>
      </c>
      <c r="AD172" s="27">
        <v>117.83</v>
      </c>
      <c r="AE172" s="27">
        <v>19.57</v>
      </c>
      <c r="AF172" s="27">
        <v>582.54</v>
      </c>
      <c r="AG172" s="27"/>
      <c r="AH172" s="27"/>
      <c r="AI172" s="27"/>
      <c r="AJ172" s="27"/>
    </row>
    <row r="173" ht="25.5" customHeight="1">
      <c r="A173" s="23">
        <v>170.0</v>
      </c>
      <c r="B173" s="24">
        <v>46204.0</v>
      </c>
      <c r="C173" s="26" t="s">
        <v>2</v>
      </c>
      <c r="D173" s="26" t="s">
        <v>536</v>
      </c>
      <c r="E173" s="23" t="s">
        <v>539</v>
      </c>
      <c r="F173" s="23" t="s">
        <v>719</v>
      </c>
      <c r="G173" s="26"/>
      <c r="H173" s="26" t="s">
        <v>70</v>
      </c>
      <c r="I173" s="23" t="s">
        <v>81</v>
      </c>
      <c r="J173" s="23" t="s">
        <v>74</v>
      </c>
      <c r="K173" s="27">
        <v>18575.77</v>
      </c>
      <c r="L173" s="27">
        <v>4184.51</v>
      </c>
      <c r="M173" s="27">
        <v>6297.47</v>
      </c>
      <c r="N173" s="27">
        <v>5277.39</v>
      </c>
      <c r="O173" s="27">
        <v>2816.39</v>
      </c>
      <c r="P173" s="27">
        <v>0.0</v>
      </c>
      <c r="Q173" s="27">
        <v>0.0</v>
      </c>
      <c r="R173" s="27">
        <v>0.0</v>
      </c>
      <c r="S173" s="27">
        <v>0.0</v>
      </c>
      <c r="T173" s="27">
        <v>0.0</v>
      </c>
      <c r="U173" s="27">
        <v>18575.77</v>
      </c>
      <c r="V173" s="27">
        <v>1813.28</v>
      </c>
      <c r="W173" s="27">
        <v>372.17</v>
      </c>
      <c r="X173" s="27">
        <v>712.48</v>
      </c>
      <c r="Y173" s="27">
        <v>573.23</v>
      </c>
      <c r="Z173" s="27">
        <v>155.38</v>
      </c>
      <c r="AA173" s="27">
        <v>78.98</v>
      </c>
      <c r="AB173" s="27">
        <v>37.76</v>
      </c>
      <c r="AC173" s="27">
        <v>17.45</v>
      </c>
      <c r="AD173" s="27">
        <v>8.83</v>
      </c>
      <c r="AE173" s="27">
        <v>14.92</v>
      </c>
      <c r="AF173" s="27">
        <v>1892.26</v>
      </c>
      <c r="AG173" s="27"/>
      <c r="AH173" s="27"/>
      <c r="AI173" s="27"/>
      <c r="AJ173" s="27"/>
    </row>
    <row r="174" ht="25.5" customHeight="1">
      <c r="A174" s="23">
        <v>171.0</v>
      </c>
      <c r="B174" s="24">
        <v>46204.0</v>
      </c>
      <c r="C174" s="26" t="s">
        <v>2</v>
      </c>
      <c r="D174" s="26" t="s">
        <v>420</v>
      </c>
      <c r="E174" s="23" t="s">
        <v>421</v>
      </c>
      <c r="F174" s="23" t="s">
        <v>720</v>
      </c>
      <c r="G174" s="26"/>
      <c r="H174" s="26" t="s">
        <v>70</v>
      </c>
      <c r="I174" s="23" t="s">
        <v>72</v>
      </c>
      <c r="J174" s="23" t="s">
        <v>74</v>
      </c>
      <c r="K174" s="27">
        <v>4405.64</v>
      </c>
      <c r="L174" s="27">
        <v>1415.87</v>
      </c>
      <c r="M174" s="27">
        <v>1577.34</v>
      </c>
      <c r="N174" s="27">
        <v>1244.47</v>
      </c>
      <c r="O174" s="27">
        <v>167.94</v>
      </c>
      <c r="P174" s="27">
        <v>34.4</v>
      </c>
      <c r="Q174" s="27">
        <v>13.25</v>
      </c>
      <c r="R174" s="27">
        <v>11.49</v>
      </c>
      <c r="S174" s="27">
        <v>9.65</v>
      </c>
      <c r="T174" s="27">
        <v>0.0</v>
      </c>
      <c r="U174" s="27">
        <v>4440.04</v>
      </c>
      <c r="V174" s="27">
        <v>91.17</v>
      </c>
      <c r="W174" s="27">
        <v>19.78</v>
      </c>
      <c r="X174" s="27">
        <v>30.5</v>
      </c>
      <c r="Y174" s="27">
        <v>33.61</v>
      </c>
      <c r="Z174" s="27">
        <v>7.27</v>
      </c>
      <c r="AA174" s="27">
        <v>33.94</v>
      </c>
      <c r="AB174" s="27">
        <v>15.58</v>
      </c>
      <c r="AC174" s="27">
        <v>12.34</v>
      </c>
      <c r="AD174" s="27">
        <v>5.72</v>
      </c>
      <c r="AE174" s="27">
        <v>0.29</v>
      </c>
      <c r="AF174" s="27">
        <v>125.11</v>
      </c>
      <c r="AG174" s="27"/>
      <c r="AH174" s="27"/>
      <c r="AI174" s="27"/>
      <c r="AJ174" s="27"/>
    </row>
    <row r="175" ht="25.5" customHeight="1">
      <c r="A175" s="23">
        <v>172.0</v>
      </c>
      <c r="B175" s="24">
        <v>46204.0</v>
      </c>
      <c r="C175" s="26" t="s">
        <v>2</v>
      </c>
      <c r="D175" s="26" t="s">
        <v>232</v>
      </c>
      <c r="E175" s="23" t="s">
        <v>233</v>
      </c>
      <c r="F175" s="23" t="s">
        <v>721</v>
      </c>
      <c r="G175" s="26"/>
      <c r="H175" s="26" t="s">
        <v>70</v>
      </c>
      <c r="I175" s="23" t="s">
        <v>107</v>
      </c>
      <c r="J175" s="23" t="s">
        <v>74</v>
      </c>
      <c r="K175" s="27">
        <v>32937.39</v>
      </c>
      <c r="L175" s="27">
        <v>7309.36</v>
      </c>
      <c r="M175" s="27">
        <v>10990.37</v>
      </c>
      <c r="N175" s="27">
        <v>9242.57</v>
      </c>
      <c r="O175" s="27">
        <v>5395.07</v>
      </c>
      <c r="P175" s="27">
        <v>0.0</v>
      </c>
      <c r="Q175" s="27">
        <v>0.0</v>
      </c>
      <c r="R175" s="27">
        <v>0.0</v>
      </c>
      <c r="S175" s="27">
        <v>0.0</v>
      </c>
      <c r="T175" s="27">
        <v>0.0</v>
      </c>
      <c r="U175" s="27">
        <v>32937.39</v>
      </c>
      <c r="V175" s="27">
        <v>2522.47</v>
      </c>
      <c r="W175" s="27">
        <v>563.36</v>
      </c>
      <c r="X175" s="27">
        <v>849.18</v>
      </c>
      <c r="Y175" s="27">
        <v>715.26</v>
      </c>
      <c r="Z175" s="27">
        <v>394.65</v>
      </c>
      <c r="AA175" s="27">
        <v>0.03</v>
      </c>
      <c r="AB175" s="27">
        <v>0.02</v>
      </c>
      <c r="AC175" s="27">
        <v>0.0</v>
      </c>
      <c r="AD175" s="27">
        <v>0.0</v>
      </c>
      <c r="AE175" s="27">
        <v>0.0</v>
      </c>
      <c r="AF175" s="27">
        <v>2522.5</v>
      </c>
      <c r="AG175" s="27"/>
      <c r="AH175" s="27"/>
      <c r="AI175" s="27"/>
      <c r="AJ175" s="27"/>
    </row>
    <row r="176" ht="25.5" customHeight="1">
      <c r="A176" s="23">
        <v>173.0</v>
      </c>
      <c r="B176" s="24">
        <v>46204.0</v>
      </c>
      <c r="C176" s="26" t="s">
        <v>2</v>
      </c>
      <c r="D176" s="26" t="s">
        <v>366</v>
      </c>
      <c r="E176" s="23" t="s">
        <v>367</v>
      </c>
      <c r="F176" s="23" t="s">
        <v>722</v>
      </c>
      <c r="G176" s="26"/>
      <c r="H176" s="26" t="s">
        <v>70</v>
      </c>
      <c r="I176" s="23" t="s">
        <v>72</v>
      </c>
      <c r="J176" s="23" t="s">
        <v>74</v>
      </c>
      <c r="K176" s="27">
        <v>17981.17</v>
      </c>
      <c r="L176" s="27">
        <v>4174.57</v>
      </c>
      <c r="M176" s="27">
        <v>6147.71</v>
      </c>
      <c r="N176" s="27">
        <v>5096.81</v>
      </c>
      <c r="O176" s="27">
        <v>2562.07</v>
      </c>
      <c r="P176" s="27">
        <v>0.0</v>
      </c>
      <c r="Q176" s="27">
        <v>0.0</v>
      </c>
      <c r="R176" s="27">
        <v>0.0</v>
      </c>
      <c r="S176" s="27">
        <v>0.0</v>
      </c>
      <c r="T176" s="27">
        <v>0.0</v>
      </c>
      <c r="U176" s="27">
        <v>17981.17</v>
      </c>
      <c r="V176" s="27">
        <v>684.87</v>
      </c>
      <c r="W176" s="27">
        <v>129.66</v>
      </c>
      <c r="X176" s="27">
        <v>246.0</v>
      </c>
      <c r="Y176" s="27">
        <v>208.87</v>
      </c>
      <c r="Z176" s="27">
        <v>100.33</v>
      </c>
      <c r="AA176" s="27">
        <v>217.14</v>
      </c>
      <c r="AB176" s="27">
        <v>77.15</v>
      </c>
      <c r="AC176" s="27">
        <v>63.34</v>
      </c>
      <c r="AD176" s="27">
        <v>42.27</v>
      </c>
      <c r="AE176" s="27">
        <v>34.37</v>
      </c>
      <c r="AF176" s="27">
        <v>902.01</v>
      </c>
      <c r="AG176" s="27"/>
      <c r="AH176" s="27"/>
      <c r="AI176" s="27"/>
      <c r="AJ176" s="27"/>
    </row>
    <row r="177" ht="25.5" customHeight="1">
      <c r="A177" s="23">
        <v>174.0</v>
      </c>
      <c r="B177" s="24">
        <v>46204.0</v>
      </c>
      <c r="C177" s="26" t="s">
        <v>2</v>
      </c>
      <c r="D177" s="26" t="s">
        <v>548</v>
      </c>
      <c r="E177" s="23" t="s">
        <v>549</v>
      </c>
      <c r="F177" s="23" t="s">
        <v>723</v>
      </c>
      <c r="G177" s="26"/>
      <c r="H177" s="26" t="s">
        <v>70</v>
      </c>
      <c r="I177" s="23" t="s">
        <v>72</v>
      </c>
      <c r="J177" s="23" t="s">
        <v>74</v>
      </c>
      <c r="K177" s="27">
        <v>3648.96</v>
      </c>
      <c r="L177" s="27">
        <v>905.01</v>
      </c>
      <c r="M177" s="27">
        <v>1438.67</v>
      </c>
      <c r="N177" s="27">
        <v>1072.65</v>
      </c>
      <c r="O177" s="27">
        <v>232.61</v>
      </c>
      <c r="P177" s="27">
        <v>10906.2</v>
      </c>
      <c r="Q177" s="27">
        <v>1449.27</v>
      </c>
      <c r="R177" s="27">
        <v>3157.46</v>
      </c>
      <c r="S177" s="27">
        <v>2895.56</v>
      </c>
      <c r="T177" s="27">
        <v>3403.89</v>
      </c>
      <c r="U177" s="27">
        <v>14555.16</v>
      </c>
      <c r="V177" s="27">
        <v>444.7</v>
      </c>
      <c r="W177" s="27">
        <v>86.88</v>
      </c>
      <c r="X177" s="27">
        <v>139.44</v>
      </c>
      <c r="Y177" s="27">
        <v>123.37</v>
      </c>
      <c r="Z177" s="27">
        <v>94.99</v>
      </c>
      <c r="AA177" s="27">
        <v>1890.13</v>
      </c>
      <c r="AB177" s="27">
        <v>251.29</v>
      </c>
      <c r="AC177" s="27">
        <v>634.54</v>
      </c>
      <c r="AD177" s="27">
        <v>489.57</v>
      </c>
      <c r="AE177" s="27">
        <v>514.72</v>
      </c>
      <c r="AF177" s="27">
        <v>2334.83</v>
      </c>
      <c r="AG177" s="27"/>
      <c r="AH177" s="27"/>
      <c r="AI177" s="27"/>
      <c r="AJ177" s="27"/>
    </row>
    <row r="178" ht="25.5" customHeight="1">
      <c r="A178" s="23">
        <v>175.0</v>
      </c>
      <c r="B178" s="24">
        <v>46204.0</v>
      </c>
      <c r="C178" s="26" t="s">
        <v>2</v>
      </c>
      <c r="D178" s="26" t="s">
        <v>357</v>
      </c>
      <c r="E178" s="23" t="s">
        <v>358</v>
      </c>
      <c r="F178" s="23" t="s">
        <v>724</v>
      </c>
      <c r="G178" s="26"/>
      <c r="H178" s="26" t="s">
        <v>70</v>
      </c>
      <c r="I178" s="23" t="s">
        <v>72</v>
      </c>
      <c r="J178" s="23" t="s">
        <v>74</v>
      </c>
      <c r="K178" s="27">
        <v>12376.32</v>
      </c>
      <c r="L178" s="27">
        <v>2572.77</v>
      </c>
      <c r="M178" s="27">
        <v>4282.01</v>
      </c>
      <c r="N178" s="27">
        <v>3191.65</v>
      </c>
      <c r="O178" s="27">
        <v>2329.87</v>
      </c>
      <c r="P178" s="27">
        <v>6.85</v>
      </c>
      <c r="Q178" s="27">
        <v>0.0</v>
      </c>
      <c r="R178" s="27">
        <v>0.35</v>
      </c>
      <c r="S178" s="27">
        <v>6.49</v>
      </c>
      <c r="T178" s="27">
        <v>0.0</v>
      </c>
      <c r="U178" s="27">
        <v>12383.17</v>
      </c>
      <c r="V178" s="27">
        <v>1178.44</v>
      </c>
      <c r="W178" s="27">
        <v>184.1</v>
      </c>
      <c r="X178" s="27">
        <v>499.62</v>
      </c>
      <c r="Y178" s="27">
        <v>338.21</v>
      </c>
      <c r="Z178" s="27">
        <v>156.5</v>
      </c>
      <c r="AA178" s="27">
        <v>91.41</v>
      </c>
      <c r="AB178" s="27">
        <v>28.38</v>
      </c>
      <c r="AC178" s="27">
        <v>27.65</v>
      </c>
      <c r="AD178" s="27">
        <v>19.46</v>
      </c>
      <c r="AE178" s="27">
        <v>15.9</v>
      </c>
      <c r="AF178" s="27">
        <v>1269.85</v>
      </c>
      <c r="AG178" s="27"/>
      <c r="AH178" s="27"/>
      <c r="AI178" s="27"/>
      <c r="AJ178" s="27"/>
    </row>
    <row r="179" ht="25.5" customHeight="1">
      <c r="A179" s="23">
        <v>176.0</v>
      </c>
      <c r="B179" s="24">
        <v>46204.0</v>
      </c>
      <c r="C179" s="26" t="s">
        <v>2</v>
      </c>
      <c r="D179" s="26" t="s">
        <v>155</v>
      </c>
      <c r="E179" s="23" t="s">
        <v>157</v>
      </c>
      <c r="F179" s="23" t="s">
        <v>725</v>
      </c>
      <c r="G179" s="26"/>
      <c r="H179" s="26" t="s">
        <v>70</v>
      </c>
      <c r="I179" s="23" t="s">
        <v>107</v>
      </c>
      <c r="J179" s="23" t="s">
        <v>74</v>
      </c>
      <c r="K179" s="27">
        <v>42862.9</v>
      </c>
      <c r="L179" s="27">
        <v>9318.55</v>
      </c>
      <c r="M179" s="27">
        <v>15665.96</v>
      </c>
      <c r="N179" s="27">
        <v>11977.96</v>
      </c>
      <c r="O179" s="27">
        <v>5900.41</v>
      </c>
      <c r="P179" s="27">
        <v>3.84</v>
      </c>
      <c r="Q179" s="27">
        <v>0.0</v>
      </c>
      <c r="R179" s="27">
        <v>0.0</v>
      </c>
      <c r="S179" s="27">
        <v>3.84</v>
      </c>
      <c r="T179" s="27">
        <v>0.0</v>
      </c>
      <c r="U179" s="27">
        <v>42866.74</v>
      </c>
      <c r="V179" s="27">
        <v>6999.82</v>
      </c>
      <c r="W179" s="27">
        <v>1543.05</v>
      </c>
      <c r="X179" s="27">
        <v>2484.44</v>
      </c>
      <c r="Y179" s="27">
        <v>1895.99</v>
      </c>
      <c r="Z179" s="27">
        <v>1076.33</v>
      </c>
      <c r="AA179" s="27">
        <v>41.39</v>
      </c>
      <c r="AB179" s="27">
        <v>15.05</v>
      </c>
      <c r="AC179" s="27">
        <v>12.6</v>
      </c>
      <c r="AD179" s="27">
        <v>13.58</v>
      </c>
      <c r="AE179" s="27">
        <v>0.15</v>
      </c>
      <c r="AF179" s="27">
        <v>7041.21</v>
      </c>
      <c r="AG179" s="27"/>
      <c r="AH179" s="27"/>
      <c r="AI179" s="27"/>
      <c r="AJ179" s="27"/>
    </row>
    <row r="180" ht="25.5" customHeight="1">
      <c r="A180" s="23">
        <v>177.0</v>
      </c>
      <c r="B180" s="24">
        <v>46204.0</v>
      </c>
      <c r="C180" s="26" t="s">
        <v>2</v>
      </c>
      <c r="D180" s="26" t="s">
        <v>371</v>
      </c>
      <c r="E180" s="23" t="s">
        <v>372</v>
      </c>
      <c r="F180" s="23" t="s">
        <v>726</v>
      </c>
      <c r="G180" s="26"/>
      <c r="H180" s="26" t="s">
        <v>70</v>
      </c>
      <c r="I180" s="23" t="s">
        <v>282</v>
      </c>
      <c r="J180" s="23" t="s">
        <v>74</v>
      </c>
      <c r="K180" s="27">
        <v>11807.13</v>
      </c>
      <c r="L180" s="27">
        <v>2732.61</v>
      </c>
      <c r="M180" s="27">
        <v>3816.49</v>
      </c>
      <c r="N180" s="27">
        <v>3039.61</v>
      </c>
      <c r="O180" s="27">
        <v>2218.4</v>
      </c>
      <c r="P180" s="27">
        <v>0.0</v>
      </c>
      <c r="Q180" s="27">
        <v>0.0</v>
      </c>
      <c r="R180" s="27">
        <v>0.0</v>
      </c>
      <c r="S180" s="27">
        <v>0.0</v>
      </c>
      <c r="T180" s="27">
        <v>0.0</v>
      </c>
      <c r="U180" s="27">
        <v>11807.13</v>
      </c>
      <c r="V180" s="27">
        <v>122.17</v>
      </c>
      <c r="W180" s="27">
        <v>18.65</v>
      </c>
      <c r="X180" s="27">
        <v>44.94</v>
      </c>
      <c r="Y180" s="27">
        <v>31.54</v>
      </c>
      <c r="Z180" s="27">
        <v>27.02</v>
      </c>
      <c r="AA180" s="27">
        <v>180.19</v>
      </c>
      <c r="AB180" s="27">
        <v>64.01</v>
      </c>
      <c r="AC180" s="27">
        <v>52.92</v>
      </c>
      <c r="AD180" s="27">
        <v>51.06</v>
      </c>
      <c r="AE180" s="27">
        <v>12.18</v>
      </c>
      <c r="AF180" s="27">
        <v>302.36</v>
      </c>
      <c r="AG180" s="27"/>
      <c r="AH180" s="27"/>
      <c r="AI180" s="27"/>
      <c r="AJ180" s="27"/>
    </row>
    <row r="181" ht="25.5" customHeight="1">
      <c r="A181" s="23">
        <v>178.0</v>
      </c>
      <c r="B181" s="24">
        <v>46204.0</v>
      </c>
      <c r="C181" s="26" t="s">
        <v>2</v>
      </c>
      <c r="D181" s="26" t="s">
        <v>117</v>
      </c>
      <c r="E181" s="23" t="s">
        <v>119</v>
      </c>
      <c r="F181" s="23" t="s">
        <v>727</v>
      </c>
      <c r="G181" s="26"/>
      <c r="H181" s="26" t="s">
        <v>70</v>
      </c>
      <c r="I181" s="23" t="s">
        <v>81</v>
      </c>
      <c r="J181" s="23" t="s">
        <v>74</v>
      </c>
      <c r="K181" s="27">
        <v>8894.62</v>
      </c>
      <c r="L181" s="27">
        <v>1746.68</v>
      </c>
      <c r="M181" s="27">
        <v>2845.78</v>
      </c>
      <c r="N181" s="27">
        <v>2426.1</v>
      </c>
      <c r="O181" s="27">
        <v>1876.05</v>
      </c>
      <c r="P181" s="27">
        <v>0.0</v>
      </c>
      <c r="Q181" s="27">
        <v>0.0</v>
      </c>
      <c r="R181" s="27">
        <v>0.0</v>
      </c>
      <c r="S181" s="27">
        <v>0.0</v>
      </c>
      <c r="T181" s="27">
        <v>0.0</v>
      </c>
      <c r="U181" s="27">
        <v>8894.62</v>
      </c>
      <c r="V181" s="27">
        <v>854.08</v>
      </c>
      <c r="W181" s="27">
        <v>187.69</v>
      </c>
      <c r="X181" s="27">
        <v>289.66</v>
      </c>
      <c r="Y181" s="27">
        <v>222.85</v>
      </c>
      <c r="Z181" s="27">
        <v>153.87</v>
      </c>
      <c r="AA181" s="27">
        <v>39.09</v>
      </c>
      <c r="AB181" s="27">
        <v>10.12</v>
      </c>
      <c r="AC181" s="27">
        <v>7.26</v>
      </c>
      <c r="AD181" s="27">
        <v>8.07</v>
      </c>
      <c r="AE181" s="27">
        <v>13.64</v>
      </c>
      <c r="AF181" s="27">
        <v>893.17</v>
      </c>
      <c r="AG181" s="27"/>
      <c r="AH181" s="27"/>
      <c r="AI181" s="27"/>
      <c r="AJ181" s="27"/>
    </row>
    <row r="182" ht="25.5" customHeight="1">
      <c r="A182" s="23">
        <v>179.0</v>
      </c>
      <c r="B182" s="24">
        <v>46204.0</v>
      </c>
      <c r="C182" s="26" t="s">
        <v>2</v>
      </c>
      <c r="D182" s="26" t="s">
        <v>312</v>
      </c>
      <c r="E182" s="23" t="s">
        <v>313</v>
      </c>
      <c r="F182" s="23" t="s">
        <v>728</v>
      </c>
      <c r="G182" s="26"/>
      <c r="H182" s="26" t="s">
        <v>70</v>
      </c>
      <c r="I182" s="23" t="s">
        <v>107</v>
      </c>
      <c r="J182" s="23" t="s">
        <v>74</v>
      </c>
      <c r="K182" s="27">
        <v>31501.33</v>
      </c>
      <c r="L182" s="27">
        <v>6790.98</v>
      </c>
      <c r="M182" s="27">
        <v>10877.91</v>
      </c>
      <c r="N182" s="27">
        <v>10251.71</v>
      </c>
      <c r="O182" s="27">
        <v>3580.71</v>
      </c>
      <c r="P182" s="27">
        <v>0.0</v>
      </c>
      <c r="Q182" s="27">
        <v>0.0</v>
      </c>
      <c r="R182" s="27">
        <v>0.0</v>
      </c>
      <c r="S182" s="27">
        <v>0.0</v>
      </c>
      <c r="T182" s="27">
        <v>0.0</v>
      </c>
      <c r="U182" s="27">
        <v>31501.33</v>
      </c>
      <c r="V182" s="27">
        <v>2815.41</v>
      </c>
      <c r="W182" s="27">
        <v>622.59</v>
      </c>
      <c r="X182" s="27">
        <v>934.05</v>
      </c>
      <c r="Y182" s="27">
        <v>838.15</v>
      </c>
      <c r="Z182" s="27">
        <v>420.6</v>
      </c>
      <c r="AA182" s="27">
        <v>33.46</v>
      </c>
      <c r="AB182" s="27">
        <v>13.19</v>
      </c>
      <c r="AC182" s="27">
        <v>12.58</v>
      </c>
      <c r="AD182" s="27">
        <v>5.85</v>
      </c>
      <c r="AE182" s="27">
        <v>1.84</v>
      </c>
      <c r="AF182" s="27">
        <v>2848.87</v>
      </c>
      <c r="AG182" s="27"/>
      <c r="AH182" s="27"/>
      <c r="AI182" s="27"/>
      <c r="AJ182" s="27"/>
    </row>
    <row r="183" ht="25.5" customHeight="1">
      <c r="A183" s="23">
        <v>180.0</v>
      </c>
      <c r="B183" s="24">
        <v>46204.0</v>
      </c>
      <c r="C183" s="26" t="s">
        <v>2</v>
      </c>
      <c r="D183" s="26" t="s">
        <v>142</v>
      </c>
      <c r="E183" s="23" t="s">
        <v>144</v>
      </c>
      <c r="F183" s="23" t="s">
        <v>729</v>
      </c>
      <c r="G183" s="26"/>
      <c r="H183" s="26" t="s">
        <v>70</v>
      </c>
      <c r="I183" s="23" t="s">
        <v>81</v>
      </c>
      <c r="J183" s="23" t="s">
        <v>74</v>
      </c>
      <c r="K183" s="27">
        <v>11197.61</v>
      </c>
      <c r="L183" s="27">
        <v>2177.3</v>
      </c>
      <c r="M183" s="27">
        <v>3640.29</v>
      </c>
      <c r="N183" s="27">
        <v>3019.09</v>
      </c>
      <c r="O183" s="27">
        <v>2360.93</v>
      </c>
      <c r="P183" s="27">
        <v>5.06</v>
      </c>
      <c r="Q183" s="27">
        <v>0.0</v>
      </c>
      <c r="R183" s="27">
        <v>0.17</v>
      </c>
      <c r="S183" s="27">
        <v>4.89</v>
      </c>
      <c r="T183" s="27">
        <v>0.0</v>
      </c>
      <c r="U183" s="27">
        <v>11202.67</v>
      </c>
      <c r="V183" s="27">
        <v>589.24</v>
      </c>
      <c r="W183" s="27">
        <v>81.66</v>
      </c>
      <c r="X183" s="27">
        <v>234.3</v>
      </c>
      <c r="Y183" s="27">
        <v>227.72</v>
      </c>
      <c r="Z183" s="27">
        <v>45.54</v>
      </c>
      <c r="AA183" s="27">
        <v>597.67</v>
      </c>
      <c r="AB183" s="27">
        <v>138.14</v>
      </c>
      <c r="AC183" s="27">
        <v>220.67</v>
      </c>
      <c r="AD183" s="27">
        <v>130.69</v>
      </c>
      <c r="AE183" s="27">
        <v>108.15</v>
      </c>
      <c r="AF183" s="27">
        <v>1186.91</v>
      </c>
      <c r="AG183" s="27"/>
      <c r="AH183" s="27"/>
      <c r="AI183" s="27"/>
      <c r="AJ183" s="27"/>
    </row>
    <row r="184" ht="25.5" customHeight="1">
      <c r="A184" s="23">
        <v>181.0</v>
      </c>
      <c r="B184" s="24">
        <v>46204.0</v>
      </c>
      <c r="C184" s="26" t="s">
        <v>2</v>
      </c>
      <c r="D184" s="26" t="s">
        <v>730</v>
      </c>
      <c r="E184" s="23" t="s">
        <v>731</v>
      </c>
      <c r="F184" s="23" t="s">
        <v>732</v>
      </c>
      <c r="G184" s="26"/>
      <c r="H184" s="26" t="s">
        <v>70</v>
      </c>
      <c r="I184" s="23" t="s">
        <v>81</v>
      </c>
      <c r="J184" s="23" t="s">
        <v>74</v>
      </c>
      <c r="K184" s="27">
        <v>4789.35</v>
      </c>
      <c r="L184" s="27">
        <v>1004.99</v>
      </c>
      <c r="M184" s="27">
        <v>1425.12</v>
      </c>
      <c r="N184" s="27">
        <v>1289.83</v>
      </c>
      <c r="O184" s="27">
        <v>1069.39</v>
      </c>
      <c r="P184" s="27">
        <v>0.0</v>
      </c>
      <c r="Q184" s="27">
        <v>0.0</v>
      </c>
      <c r="R184" s="27">
        <v>0.0</v>
      </c>
      <c r="S184" s="27">
        <v>0.0</v>
      </c>
      <c r="T184" s="27">
        <v>0.0</v>
      </c>
      <c r="U184" s="27">
        <v>4789.35</v>
      </c>
      <c r="V184" s="27">
        <v>202.43</v>
      </c>
      <c r="W184" s="27">
        <v>32.43</v>
      </c>
      <c r="X184" s="27">
        <v>54.41</v>
      </c>
      <c r="Y184" s="27">
        <v>80.1</v>
      </c>
      <c r="Z184" s="27">
        <v>35.47</v>
      </c>
      <c r="AA184" s="27">
        <v>115.96</v>
      </c>
      <c r="AB184" s="27">
        <v>37.32</v>
      </c>
      <c r="AC184" s="27">
        <v>37.24</v>
      </c>
      <c r="AD184" s="27">
        <v>27.32</v>
      </c>
      <c r="AE184" s="27">
        <v>14.07</v>
      </c>
      <c r="AF184" s="27">
        <v>318.39</v>
      </c>
      <c r="AG184" s="27"/>
      <c r="AH184" s="27"/>
      <c r="AI184" s="27"/>
      <c r="AJ184" s="27"/>
    </row>
    <row r="185" ht="25.5" customHeight="1">
      <c r="A185" s="23">
        <v>182.0</v>
      </c>
      <c r="B185" s="24">
        <v>46204.0</v>
      </c>
      <c r="C185" s="26" t="s">
        <v>2</v>
      </c>
      <c r="D185" s="26" t="s">
        <v>437</v>
      </c>
      <c r="E185" s="23" t="s">
        <v>438</v>
      </c>
      <c r="F185" s="23" t="s">
        <v>733</v>
      </c>
      <c r="G185" s="26"/>
      <c r="H185" s="26" t="s">
        <v>70</v>
      </c>
      <c r="I185" s="23" t="s">
        <v>107</v>
      </c>
      <c r="J185" s="23" t="s">
        <v>74</v>
      </c>
      <c r="K185" s="27">
        <v>1669.3</v>
      </c>
      <c r="L185" s="27">
        <v>243.78</v>
      </c>
      <c r="M185" s="27">
        <v>530.71</v>
      </c>
      <c r="N185" s="27">
        <v>401.75</v>
      </c>
      <c r="O185" s="27">
        <v>493.03</v>
      </c>
      <c r="P185" s="27">
        <v>0.0</v>
      </c>
      <c r="Q185" s="27">
        <v>0.0</v>
      </c>
      <c r="R185" s="27">
        <v>0.0</v>
      </c>
      <c r="S185" s="27">
        <v>0.0</v>
      </c>
      <c r="T185" s="27">
        <v>0.0</v>
      </c>
      <c r="U185" s="27">
        <v>1669.3</v>
      </c>
      <c r="V185" s="27">
        <v>276.47</v>
      </c>
      <c r="W185" s="27">
        <v>60.56</v>
      </c>
      <c r="X185" s="27">
        <v>101.88</v>
      </c>
      <c r="Y185" s="27">
        <v>66.19</v>
      </c>
      <c r="Z185" s="27">
        <v>47.82</v>
      </c>
      <c r="AA185" s="27">
        <v>1.28</v>
      </c>
      <c r="AB185" s="27">
        <v>0.13</v>
      </c>
      <c r="AC185" s="27">
        <v>0.1</v>
      </c>
      <c r="AD185" s="27">
        <v>0.35</v>
      </c>
      <c r="AE185" s="27">
        <v>0.68</v>
      </c>
      <c r="AF185" s="27">
        <v>277.75</v>
      </c>
      <c r="AG185" s="27"/>
      <c r="AH185" s="27"/>
      <c r="AI185" s="27"/>
      <c r="AJ185" s="27"/>
    </row>
    <row r="186" ht="25.5" customHeight="1">
      <c r="A186" s="23">
        <v>183.0</v>
      </c>
      <c r="B186" s="24">
        <v>46204.0</v>
      </c>
      <c r="C186" s="26" t="s">
        <v>2</v>
      </c>
      <c r="D186" s="26" t="s">
        <v>734</v>
      </c>
      <c r="E186" s="23" t="s">
        <v>735</v>
      </c>
      <c r="F186" s="23" t="s">
        <v>736</v>
      </c>
      <c r="G186" s="26"/>
      <c r="H186" s="26" t="s">
        <v>70</v>
      </c>
      <c r="I186" s="23" t="s">
        <v>72</v>
      </c>
      <c r="J186" s="23" t="s">
        <v>74</v>
      </c>
      <c r="K186" s="27">
        <v>11673.29</v>
      </c>
      <c r="L186" s="27">
        <v>2413.21</v>
      </c>
      <c r="M186" s="27">
        <v>4036.33</v>
      </c>
      <c r="N186" s="27">
        <v>3282.88</v>
      </c>
      <c r="O186" s="27">
        <v>1940.86</v>
      </c>
      <c r="P186" s="27">
        <v>1964.82</v>
      </c>
      <c r="Q186" s="27">
        <v>656.58</v>
      </c>
      <c r="R186" s="27">
        <v>727.22</v>
      </c>
      <c r="S186" s="27">
        <v>581.0</v>
      </c>
      <c r="T186" s="27">
        <v>0.0</v>
      </c>
      <c r="U186" s="27">
        <v>13638.11</v>
      </c>
      <c r="V186" s="27">
        <v>3076.5</v>
      </c>
      <c r="W186" s="27">
        <v>561.74</v>
      </c>
      <c r="X186" s="27">
        <v>1134.04</v>
      </c>
      <c r="Y186" s="27">
        <v>917.61</v>
      </c>
      <c r="Z186" s="27">
        <v>463.09</v>
      </c>
      <c r="AA186" s="27">
        <v>1073.94</v>
      </c>
      <c r="AB186" s="27">
        <v>345.59</v>
      </c>
      <c r="AC186" s="27">
        <v>382.05</v>
      </c>
      <c r="AD186" s="27">
        <v>317.86</v>
      </c>
      <c r="AE186" s="27">
        <v>28.42</v>
      </c>
      <c r="AF186" s="27">
        <v>4150.44</v>
      </c>
      <c r="AG186" s="27"/>
      <c r="AH186" s="27"/>
      <c r="AI186" s="27"/>
      <c r="AJ186" s="27"/>
    </row>
    <row r="187" ht="25.5" customHeight="1">
      <c r="A187" s="23">
        <v>184.0</v>
      </c>
      <c r="B187" s="24">
        <v>46204.0</v>
      </c>
      <c r="C187" s="26" t="s">
        <v>2</v>
      </c>
      <c r="D187" s="26" t="s">
        <v>737</v>
      </c>
      <c r="E187" s="23" t="s">
        <v>738</v>
      </c>
      <c r="F187" s="23" t="s">
        <v>739</v>
      </c>
      <c r="G187" s="26"/>
      <c r="H187" s="26" t="s">
        <v>70</v>
      </c>
      <c r="I187" s="23" t="s">
        <v>81</v>
      </c>
      <c r="J187" s="23" t="s">
        <v>74</v>
      </c>
      <c r="K187" s="27">
        <v>7996.2</v>
      </c>
      <c r="L187" s="27">
        <v>1890.84</v>
      </c>
      <c r="M187" s="27">
        <v>2922.96</v>
      </c>
      <c r="N187" s="27">
        <v>2464.77</v>
      </c>
      <c r="O187" s="27">
        <v>717.62</v>
      </c>
      <c r="P187" s="27">
        <v>1611.68</v>
      </c>
      <c r="Q187" s="27">
        <v>475.85</v>
      </c>
      <c r="R187" s="27">
        <v>609.34</v>
      </c>
      <c r="S187" s="27">
        <v>526.46</v>
      </c>
      <c r="T187" s="27">
        <v>0.01</v>
      </c>
      <c r="U187" s="27">
        <v>9607.88</v>
      </c>
      <c r="V187" s="27">
        <v>583.15</v>
      </c>
      <c r="W187" s="27">
        <v>151.48</v>
      </c>
      <c r="X187" s="27">
        <v>190.33</v>
      </c>
      <c r="Y187" s="27">
        <v>157.8</v>
      </c>
      <c r="Z187" s="27">
        <v>83.53</v>
      </c>
      <c r="AA187" s="27">
        <v>529.66</v>
      </c>
      <c r="AB187" s="27">
        <v>191.94</v>
      </c>
      <c r="AC187" s="27">
        <v>170.13</v>
      </c>
      <c r="AD187" s="27">
        <v>152.23</v>
      </c>
      <c r="AE187" s="27">
        <v>15.35</v>
      </c>
      <c r="AF187" s="27">
        <v>1112.81</v>
      </c>
      <c r="AG187" s="27"/>
      <c r="AH187" s="27"/>
      <c r="AI187" s="27"/>
      <c r="AJ187" s="27"/>
    </row>
    <row r="188" ht="25.5" customHeight="1">
      <c r="A188" s="23">
        <v>185.0</v>
      </c>
      <c r="B188" s="24">
        <v>46204.0</v>
      </c>
      <c r="C188" s="26" t="s">
        <v>2</v>
      </c>
      <c r="D188" s="26" t="s">
        <v>740</v>
      </c>
      <c r="E188" s="23" t="s">
        <v>741</v>
      </c>
      <c r="F188" s="23" t="s">
        <v>742</v>
      </c>
      <c r="G188" s="26"/>
      <c r="H188" s="26" t="s">
        <v>70</v>
      </c>
      <c r="I188" s="23" t="s">
        <v>107</v>
      </c>
      <c r="J188" s="23" t="s">
        <v>74</v>
      </c>
      <c r="K188" s="27">
        <v>5439.19</v>
      </c>
      <c r="L188" s="27">
        <v>1502.67</v>
      </c>
      <c r="M188" s="27">
        <v>2239.24</v>
      </c>
      <c r="N188" s="27">
        <v>1677.77</v>
      </c>
      <c r="O188" s="27">
        <v>19.49</v>
      </c>
      <c r="P188" s="27">
        <v>16316.13</v>
      </c>
      <c r="Q188" s="27">
        <v>3260.32</v>
      </c>
      <c r="R188" s="27">
        <v>5526.74</v>
      </c>
      <c r="S188" s="27">
        <v>4870.32</v>
      </c>
      <c r="T188" s="27">
        <v>2658.72</v>
      </c>
      <c r="U188" s="27">
        <v>21755.32</v>
      </c>
      <c r="V188" s="27">
        <v>616.31</v>
      </c>
      <c r="W188" s="27">
        <v>160.59</v>
      </c>
      <c r="X188" s="27">
        <v>205.9</v>
      </c>
      <c r="Y188" s="27">
        <v>190.54</v>
      </c>
      <c r="Z188" s="27">
        <v>59.27</v>
      </c>
      <c r="AA188" s="27">
        <v>1284.34</v>
      </c>
      <c r="AB188" s="27">
        <v>262.69</v>
      </c>
      <c r="AC188" s="27">
        <v>461.39</v>
      </c>
      <c r="AD188" s="27">
        <v>391.45</v>
      </c>
      <c r="AE188" s="27">
        <v>168.79</v>
      </c>
      <c r="AF188" s="27">
        <v>1900.65</v>
      </c>
      <c r="AG188" s="27"/>
      <c r="AH188" s="27"/>
      <c r="AI188" s="27"/>
      <c r="AJ188" s="27"/>
    </row>
    <row r="189" ht="25.5" customHeight="1">
      <c r="A189" s="23">
        <v>186.0</v>
      </c>
      <c r="B189" s="24">
        <v>46204.0</v>
      </c>
      <c r="C189" s="26" t="s">
        <v>2</v>
      </c>
      <c r="D189" s="26" t="s">
        <v>340</v>
      </c>
      <c r="E189" s="23" t="s">
        <v>341</v>
      </c>
      <c r="F189" s="23" t="s">
        <v>743</v>
      </c>
      <c r="G189" s="26"/>
      <c r="H189" s="26" t="s">
        <v>70</v>
      </c>
      <c r="I189" s="23" t="s">
        <v>81</v>
      </c>
      <c r="J189" s="23" t="s">
        <v>74</v>
      </c>
      <c r="K189" s="27">
        <v>28299.43</v>
      </c>
      <c r="L189" s="27">
        <v>5407.78</v>
      </c>
      <c r="M189" s="27">
        <v>9749.94</v>
      </c>
      <c r="N189" s="27">
        <v>8138.99</v>
      </c>
      <c r="O189" s="27">
        <v>5002.71</v>
      </c>
      <c r="P189" s="27">
        <v>0.0</v>
      </c>
      <c r="Q189" s="27">
        <v>0.0</v>
      </c>
      <c r="R189" s="27">
        <v>0.0</v>
      </c>
      <c r="S189" s="27">
        <v>0.0</v>
      </c>
      <c r="T189" s="27">
        <v>0.0</v>
      </c>
      <c r="U189" s="27">
        <v>28299.43</v>
      </c>
      <c r="V189" s="27">
        <v>3434.24</v>
      </c>
      <c r="W189" s="27">
        <v>571.91</v>
      </c>
      <c r="X189" s="27">
        <v>1332.07</v>
      </c>
      <c r="Y189" s="27">
        <v>1031.12</v>
      </c>
      <c r="Z189" s="27">
        <v>499.12</v>
      </c>
      <c r="AA189" s="27">
        <v>24.15</v>
      </c>
      <c r="AB189" s="27">
        <v>12.05</v>
      </c>
      <c r="AC189" s="27">
        <v>7.15</v>
      </c>
      <c r="AD189" s="27">
        <v>4.87</v>
      </c>
      <c r="AE189" s="27">
        <v>0.06</v>
      </c>
      <c r="AF189" s="27">
        <v>3458.39</v>
      </c>
      <c r="AG189" s="27"/>
      <c r="AH189" s="27"/>
      <c r="AI189" s="27"/>
      <c r="AJ189" s="27"/>
    </row>
    <row r="190" ht="25.5" customHeight="1">
      <c r="A190" s="23">
        <v>187.0</v>
      </c>
      <c r="B190" s="24">
        <v>46204.0</v>
      </c>
      <c r="C190" s="26" t="s">
        <v>2</v>
      </c>
      <c r="D190" s="26" t="s">
        <v>411</v>
      </c>
      <c r="E190" s="23" t="s">
        <v>412</v>
      </c>
      <c r="F190" s="23" t="s">
        <v>744</v>
      </c>
      <c r="G190" s="26"/>
      <c r="H190" s="26" t="s">
        <v>70</v>
      </c>
      <c r="I190" s="23" t="s">
        <v>107</v>
      </c>
      <c r="J190" s="23" t="s">
        <v>74</v>
      </c>
      <c r="K190" s="27">
        <v>13682.27</v>
      </c>
      <c r="L190" s="27">
        <v>3053.26</v>
      </c>
      <c r="M190" s="27">
        <v>4547.16</v>
      </c>
      <c r="N190" s="27">
        <v>3673.17</v>
      </c>
      <c r="O190" s="27">
        <v>2408.68</v>
      </c>
      <c r="P190" s="27">
        <v>0.0</v>
      </c>
      <c r="Q190" s="27">
        <v>0.0</v>
      </c>
      <c r="R190" s="27">
        <v>0.0</v>
      </c>
      <c r="S190" s="27">
        <v>0.0</v>
      </c>
      <c r="T190" s="27">
        <v>0.0</v>
      </c>
      <c r="U190" s="27">
        <v>13682.27</v>
      </c>
      <c r="V190" s="27">
        <v>215.07</v>
      </c>
      <c r="W190" s="27">
        <v>31.9</v>
      </c>
      <c r="X190" s="27">
        <v>89.33</v>
      </c>
      <c r="Y190" s="27">
        <v>76.82</v>
      </c>
      <c r="Z190" s="27">
        <v>17.0</v>
      </c>
      <c r="AA190" s="27">
        <v>351.76</v>
      </c>
      <c r="AB190" s="27">
        <v>97.33</v>
      </c>
      <c r="AC190" s="27">
        <v>100.94</v>
      </c>
      <c r="AD190" s="27">
        <v>78.22</v>
      </c>
      <c r="AE190" s="27">
        <v>75.26</v>
      </c>
      <c r="AF190" s="27">
        <v>566.83</v>
      </c>
      <c r="AG190" s="27"/>
      <c r="AH190" s="27"/>
      <c r="AI190" s="27"/>
      <c r="AJ190" s="27"/>
    </row>
    <row r="191" ht="25.5" customHeight="1">
      <c r="A191" s="23">
        <v>188.0</v>
      </c>
      <c r="B191" s="24">
        <v>46204.0</v>
      </c>
      <c r="C191" s="26" t="s">
        <v>2</v>
      </c>
      <c r="D191" s="26" t="s">
        <v>418</v>
      </c>
      <c r="E191" s="23" t="s">
        <v>419</v>
      </c>
      <c r="F191" s="23" t="s">
        <v>745</v>
      </c>
      <c r="G191" s="26"/>
      <c r="H191" s="26" t="s">
        <v>70</v>
      </c>
      <c r="I191" s="23" t="s">
        <v>107</v>
      </c>
      <c r="J191" s="23" t="s">
        <v>74</v>
      </c>
      <c r="K191" s="27">
        <v>4051.86</v>
      </c>
      <c r="L191" s="27">
        <v>869.6</v>
      </c>
      <c r="M191" s="27">
        <v>1292.04</v>
      </c>
      <c r="N191" s="27">
        <v>1065.47</v>
      </c>
      <c r="O191" s="27">
        <v>824.73</v>
      </c>
      <c r="P191" s="27">
        <v>7.85</v>
      </c>
      <c r="Q191" s="27">
        <v>2.03</v>
      </c>
      <c r="R191" s="27">
        <v>2.5</v>
      </c>
      <c r="S191" s="27">
        <v>2.1</v>
      </c>
      <c r="T191" s="27">
        <v>1.21</v>
      </c>
      <c r="U191" s="27">
        <v>4059.71</v>
      </c>
      <c r="V191" s="27">
        <v>336.71</v>
      </c>
      <c r="W191" s="27">
        <v>63.01</v>
      </c>
      <c r="X191" s="27">
        <v>116.76</v>
      </c>
      <c r="Y191" s="27">
        <v>97.24</v>
      </c>
      <c r="Z191" s="27">
        <v>59.68</v>
      </c>
      <c r="AA191" s="27">
        <v>99.82</v>
      </c>
      <c r="AB191" s="27">
        <v>17.7</v>
      </c>
      <c r="AC191" s="27">
        <v>18.01</v>
      </c>
      <c r="AD191" s="27">
        <v>25.98</v>
      </c>
      <c r="AE191" s="27">
        <v>38.11</v>
      </c>
      <c r="AF191" s="27">
        <v>436.53</v>
      </c>
      <c r="AG191" s="27"/>
      <c r="AH191" s="27"/>
      <c r="AI191" s="27"/>
      <c r="AJ191" s="27"/>
    </row>
    <row r="192" ht="25.5" customHeight="1">
      <c r="A192" s="23">
        <v>189.0</v>
      </c>
      <c r="B192" s="24">
        <v>46204.0</v>
      </c>
      <c r="C192" s="26" t="s">
        <v>2</v>
      </c>
      <c r="D192" s="26" t="s">
        <v>399</v>
      </c>
      <c r="E192" s="23" t="s">
        <v>401</v>
      </c>
      <c r="F192" s="23" t="s">
        <v>746</v>
      </c>
      <c r="G192" s="26"/>
      <c r="H192" s="26" t="s">
        <v>70</v>
      </c>
      <c r="I192" s="23" t="s">
        <v>72</v>
      </c>
      <c r="J192" s="23" t="s">
        <v>74</v>
      </c>
      <c r="K192" s="27">
        <v>4078.8</v>
      </c>
      <c r="L192" s="27">
        <v>695.11</v>
      </c>
      <c r="M192" s="27">
        <v>1612.23</v>
      </c>
      <c r="N192" s="27">
        <v>1160.79</v>
      </c>
      <c r="O192" s="27">
        <v>610.66</v>
      </c>
      <c r="P192" s="27">
        <v>185.91</v>
      </c>
      <c r="Q192" s="27">
        <v>41.61</v>
      </c>
      <c r="R192" s="27">
        <v>70.25</v>
      </c>
      <c r="S192" s="27">
        <v>74.04</v>
      </c>
      <c r="T192" s="27">
        <v>0.0</v>
      </c>
      <c r="U192" s="27">
        <v>4264.71</v>
      </c>
      <c r="V192" s="27">
        <v>1232.5</v>
      </c>
      <c r="W192" s="27">
        <v>194.33</v>
      </c>
      <c r="X192" s="27">
        <v>652.45</v>
      </c>
      <c r="Y192" s="27">
        <v>342.93</v>
      </c>
      <c r="Z192" s="27">
        <v>42.77</v>
      </c>
      <c r="AA192" s="27">
        <v>162.86</v>
      </c>
      <c r="AB192" s="27">
        <v>22.43</v>
      </c>
      <c r="AC192" s="27">
        <v>36.74</v>
      </c>
      <c r="AD192" s="27">
        <v>75.04</v>
      </c>
      <c r="AE192" s="27">
        <v>28.63</v>
      </c>
      <c r="AF192" s="27">
        <v>1395.36</v>
      </c>
      <c r="AG192" s="27"/>
      <c r="AH192" s="27"/>
      <c r="AI192" s="27"/>
      <c r="AJ192" s="27"/>
    </row>
    <row r="193" ht="25.5" customHeight="1">
      <c r="A193" s="23">
        <v>190.0</v>
      </c>
      <c r="B193" s="24">
        <v>46204.0</v>
      </c>
      <c r="C193" s="26" t="s">
        <v>2</v>
      </c>
      <c r="D193" s="26" t="s">
        <v>392</v>
      </c>
      <c r="E193" s="23" t="s">
        <v>393</v>
      </c>
      <c r="F193" s="23" t="s">
        <v>747</v>
      </c>
      <c r="G193" s="26"/>
      <c r="H193" s="26" t="s">
        <v>70</v>
      </c>
      <c r="I193" s="23" t="s">
        <v>107</v>
      </c>
      <c r="J193" s="23" t="s">
        <v>74</v>
      </c>
      <c r="K193" s="27">
        <v>37957.13</v>
      </c>
      <c r="L193" s="27">
        <v>8216.26</v>
      </c>
      <c r="M193" s="27">
        <v>13202.22</v>
      </c>
      <c r="N193" s="27">
        <v>11016.14</v>
      </c>
      <c r="O193" s="27">
        <v>5522.5</v>
      </c>
      <c r="P193" s="27">
        <v>0.0</v>
      </c>
      <c r="Q193" s="27">
        <v>0.0</v>
      </c>
      <c r="R193" s="27">
        <v>0.0</v>
      </c>
      <c r="S193" s="27">
        <v>0.0</v>
      </c>
      <c r="T193" s="27">
        <v>0.0</v>
      </c>
      <c r="U193" s="27">
        <v>37957.13</v>
      </c>
      <c r="V193" s="27">
        <v>6896.1</v>
      </c>
      <c r="W193" s="27">
        <v>1119.53</v>
      </c>
      <c r="X193" s="27">
        <v>2968.12</v>
      </c>
      <c r="Y193" s="27">
        <v>2463.72</v>
      </c>
      <c r="Z193" s="27">
        <v>344.72</v>
      </c>
      <c r="AA193" s="27">
        <v>271.79</v>
      </c>
      <c r="AB193" s="27">
        <v>112.4</v>
      </c>
      <c r="AC193" s="27">
        <v>63.56</v>
      </c>
      <c r="AD193" s="27">
        <v>33.88</v>
      </c>
      <c r="AE193" s="27">
        <v>61.93</v>
      </c>
      <c r="AF193" s="27">
        <v>7167.89</v>
      </c>
      <c r="AG193" s="27"/>
      <c r="AH193" s="27"/>
      <c r="AI193" s="27"/>
      <c r="AJ193" s="27"/>
    </row>
    <row r="194" ht="25.5" customHeight="1">
      <c r="A194" s="23">
        <v>191.0</v>
      </c>
      <c r="B194" s="24">
        <v>46204.0</v>
      </c>
      <c r="C194" s="26" t="s">
        <v>2</v>
      </c>
      <c r="D194" s="26" t="s">
        <v>170</v>
      </c>
      <c r="E194" s="23" t="s">
        <v>171</v>
      </c>
      <c r="F194" s="23" t="s">
        <v>748</v>
      </c>
      <c r="G194" s="26"/>
      <c r="H194" s="26" t="s">
        <v>70</v>
      </c>
      <c r="I194" s="23" t="s">
        <v>72</v>
      </c>
      <c r="J194" s="23" t="s">
        <v>74</v>
      </c>
      <c r="K194" s="27">
        <v>40588.22</v>
      </c>
      <c r="L194" s="27">
        <v>9314.11</v>
      </c>
      <c r="M194" s="27">
        <v>13333.89</v>
      </c>
      <c r="N194" s="27">
        <v>11071.69</v>
      </c>
      <c r="O194" s="27">
        <v>6868.52</v>
      </c>
      <c r="P194" s="27">
        <v>0.0</v>
      </c>
      <c r="Q194" s="27">
        <v>0.0</v>
      </c>
      <c r="R194" s="27">
        <v>0.0</v>
      </c>
      <c r="S194" s="27">
        <v>0.0</v>
      </c>
      <c r="T194" s="27">
        <v>0.0</v>
      </c>
      <c r="U194" s="27">
        <v>40588.22</v>
      </c>
      <c r="V194" s="27">
        <v>2708.96</v>
      </c>
      <c r="W194" s="27">
        <v>579.44</v>
      </c>
      <c r="X194" s="27">
        <v>886.91</v>
      </c>
      <c r="Y194" s="27">
        <v>760.6</v>
      </c>
      <c r="Z194" s="27">
        <v>481.99</v>
      </c>
      <c r="AA194" s="27">
        <v>133.52</v>
      </c>
      <c r="AB194" s="27">
        <v>67.15</v>
      </c>
      <c r="AC194" s="27">
        <v>43.69</v>
      </c>
      <c r="AD194" s="27">
        <v>19.27</v>
      </c>
      <c r="AE194" s="27">
        <v>3.39</v>
      </c>
      <c r="AF194" s="27">
        <v>2842.48</v>
      </c>
      <c r="AG194" s="27"/>
      <c r="AH194" s="27"/>
      <c r="AI194" s="27"/>
      <c r="AJ194" s="27"/>
    </row>
    <row r="195" ht="25.5" customHeight="1">
      <c r="A195" s="23">
        <v>192.0</v>
      </c>
      <c r="B195" s="24">
        <v>46204.0</v>
      </c>
      <c r="C195" s="26" t="s">
        <v>2</v>
      </c>
      <c r="D195" s="26" t="s">
        <v>350</v>
      </c>
      <c r="E195" s="23" t="s">
        <v>351</v>
      </c>
      <c r="F195" s="23" t="s">
        <v>749</v>
      </c>
      <c r="G195" s="26"/>
      <c r="H195" s="26" t="s">
        <v>70</v>
      </c>
      <c r="I195" s="23" t="s">
        <v>107</v>
      </c>
      <c r="J195" s="23" t="s">
        <v>74</v>
      </c>
      <c r="K195" s="27">
        <v>17812.75</v>
      </c>
      <c r="L195" s="27">
        <v>3766.06</v>
      </c>
      <c r="M195" s="27">
        <v>6084.87</v>
      </c>
      <c r="N195" s="27">
        <v>5108.9</v>
      </c>
      <c r="O195" s="27">
        <v>2852.9</v>
      </c>
      <c r="P195" s="27">
        <v>0.5</v>
      </c>
      <c r="Q195" s="27">
        <v>0.17</v>
      </c>
      <c r="R195" s="27">
        <v>0.17</v>
      </c>
      <c r="S195" s="27">
        <v>0.15</v>
      </c>
      <c r="T195" s="27">
        <v>0.0</v>
      </c>
      <c r="U195" s="27">
        <v>17813.25</v>
      </c>
      <c r="V195" s="27">
        <v>1666.32</v>
      </c>
      <c r="W195" s="27">
        <v>349.14</v>
      </c>
      <c r="X195" s="27">
        <v>578.62</v>
      </c>
      <c r="Y195" s="27">
        <v>492.78</v>
      </c>
      <c r="Z195" s="27">
        <v>245.77</v>
      </c>
      <c r="AA195" s="27">
        <v>98.39</v>
      </c>
      <c r="AB195" s="27">
        <v>48.58</v>
      </c>
      <c r="AC195" s="27">
        <v>25.11</v>
      </c>
      <c r="AD195" s="27">
        <v>17.47</v>
      </c>
      <c r="AE195" s="27">
        <v>7.22</v>
      </c>
      <c r="AF195" s="27">
        <v>1764.71</v>
      </c>
      <c r="AG195" s="27"/>
      <c r="AH195" s="27"/>
      <c r="AI195" s="27"/>
      <c r="AJ195" s="27"/>
    </row>
    <row r="196" ht="25.5" customHeight="1">
      <c r="A196" s="23">
        <v>193.0</v>
      </c>
      <c r="B196" s="24">
        <v>46204.0</v>
      </c>
      <c r="C196" s="26" t="s">
        <v>2</v>
      </c>
      <c r="D196" s="26" t="s">
        <v>750</v>
      </c>
      <c r="E196" s="23" t="s">
        <v>751</v>
      </c>
      <c r="F196" s="23" t="s">
        <v>752</v>
      </c>
      <c r="G196" s="26"/>
      <c r="H196" s="26" t="s">
        <v>70</v>
      </c>
      <c r="I196" s="23" t="s">
        <v>107</v>
      </c>
      <c r="J196" s="23" t="s">
        <v>74</v>
      </c>
      <c r="K196" s="27">
        <v>49442.88</v>
      </c>
      <c r="L196" s="27">
        <v>10718.65</v>
      </c>
      <c r="M196" s="27">
        <v>16362.25</v>
      </c>
      <c r="N196" s="27">
        <v>13596.56</v>
      </c>
      <c r="O196" s="27">
        <v>8765.4</v>
      </c>
      <c r="P196" s="27">
        <v>0.0</v>
      </c>
      <c r="Q196" s="27">
        <v>0.0</v>
      </c>
      <c r="R196" s="27">
        <v>0.0</v>
      </c>
      <c r="S196" s="27">
        <v>0.0</v>
      </c>
      <c r="T196" s="27">
        <v>0.0</v>
      </c>
      <c r="U196" s="27">
        <v>49442.88</v>
      </c>
      <c r="V196" s="27">
        <v>4062.0</v>
      </c>
      <c r="W196" s="27">
        <v>788.02</v>
      </c>
      <c r="X196" s="27">
        <v>1393.74</v>
      </c>
      <c r="Y196" s="27">
        <v>1242.9</v>
      </c>
      <c r="Z196" s="27">
        <v>637.32</v>
      </c>
      <c r="AA196" s="27">
        <v>133.45</v>
      </c>
      <c r="AB196" s="27">
        <v>53.3</v>
      </c>
      <c r="AC196" s="27">
        <v>39.11</v>
      </c>
      <c r="AD196" s="27">
        <v>16.98</v>
      </c>
      <c r="AE196" s="27">
        <v>24.04</v>
      </c>
      <c r="AF196" s="27">
        <v>4195.45</v>
      </c>
      <c r="AG196" s="27"/>
      <c r="AH196" s="27"/>
      <c r="AI196" s="27"/>
      <c r="AJ196" s="27"/>
    </row>
    <row r="197" ht="25.5" customHeight="1">
      <c r="A197" s="23">
        <v>194.0</v>
      </c>
      <c r="B197" s="24">
        <v>46204.0</v>
      </c>
      <c r="C197" s="26" t="s">
        <v>2</v>
      </c>
      <c r="D197" s="26" t="s">
        <v>209</v>
      </c>
      <c r="E197" s="23" t="s">
        <v>210</v>
      </c>
      <c r="F197" s="23" t="s">
        <v>753</v>
      </c>
      <c r="G197" s="26"/>
      <c r="H197" s="26" t="s">
        <v>70</v>
      </c>
      <c r="I197" s="23" t="s">
        <v>107</v>
      </c>
      <c r="J197" s="23" t="s">
        <v>74</v>
      </c>
      <c r="K197" s="27">
        <v>31620.93</v>
      </c>
      <c r="L197" s="27">
        <v>7098.31</v>
      </c>
      <c r="M197" s="27">
        <v>10667.02</v>
      </c>
      <c r="N197" s="27">
        <v>8625.03</v>
      </c>
      <c r="O197" s="27">
        <v>5230.56</v>
      </c>
      <c r="P197" s="27">
        <v>0.0</v>
      </c>
      <c r="Q197" s="27">
        <v>0.0</v>
      </c>
      <c r="R197" s="27">
        <v>0.0</v>
      </c>
      <c r="S197" s="27">
        <v>0.0</v>
      </c>
      <c r="T197" s="27">
        <v>0.0</v>
      </c>
      <c r="U197" s="27">
        <v>31620.93</v>
      </c>
      <c r="V197" s="27">
        <v>1635.0</v>
      </c>
      <c r="W197" s="27">
        <v>340.59</v>
      </c>
      <c r="X197" s="27">
        <v>594.4</v>
      </c>
      <c r="Y197" s="27">
        <v>461.41</v>
      </c>
      <c r="Z197" s="27">
        <v>238.59</v>
      </c>
      <c r="AA197" s="27">
        <v>28.41</v>
      </c>
      <c r="AB197" s="27">
        <v>9.25</v>
      </c>
      <c r="AC197" s="27">
        <v>8.48</v>
      </c>
      <c r="AD197" s="27">
        <v>4.28</v>
      </c>
      <c r="AE197" s="27">
        <v>6.39</v>
      </c>
      <c r="AF197" s="27">
        <v>1663.41</v>
      </c>
      <c r="AG197" s="27"/>
      <c r="AH197" s="27"/>
      <c r="AI197" s="27"/>
      <c r="AJ197" s="27"/>
    </row>
    <row r="198" ht="25.5" customHeight="1">
      <c r="A198" s="23">
        <v>195.0</v>
      </c>
      <c r="B198" s="24">
        <v>46204.0</v>
      </c>
      <c r="C198" s="26" t="s">
        <v>2</v>
      </c>
      <c r="D198" s="26" t="s">
        <v>497</v>
      </c>
      <c r="E198" s="23" t="s">
        <v>499</v>
      </c>
      <c r="F198" s="23" t="s">
        <v>754</v>
      </c>
      <c r="G198" s="26"/>
      <c r="H198" s="26" t="s">
        <v>70</v>
      </c>
      <c r="I198" s="23" t="s">
        <v>72</v>
      </c>
      <c r="J198" s="23" t="s">
        <v>74</v>
      </c>
      <c r="K198" s="27">
        <v>8007.21</v>
      </c>
      <c r="L198" s="27">
        <v>1581.11</v>
      </c>
      <c r="M198" s="27">
        <v>2732.05</v>
      </c>
      <c r="N198" s="27">
        <v>2338.14</v>
      </c>
      <c r="O198" s="27">
        <v>1355.89</v>
      </c>
      <c r="P198" s="27">
        <v>0.0</v>
      </c>
      <c r="Q198" s="27">
        <v>0.0</v>
      </c>
      <c r="R198" s="27">
        <v>0.0</v>
      </c>
      <c r="S198" s="27">
        <v>0.0</v>
      </c>
      <c r="T198" s="27">
        <v>0.0</v>
      </c>
      <c r="U198" s="27">
        <v>8007.21</v>
      </c>
      <c r="V198" s="27">
        <v>579.83</v>
      </c>
      <c r="W198" s="27">
        <v>111.3</v>
      </c>
      <c r="X198" s="27">
        <v>206.65</v>
      </c>
      <c r="Y198" s="27">
        <v>169.78</v>
      </c>
      <c r="Z198" s="27">
        <v>92.09</v>
      </c>
      <c r="AA198" s="27">
        <v>169.14</v>
      </c>
      <c r="AB198" s="27">
        <v>50.71</v>
      </c>
      <c r="AC198" s="27">
        <v>46.18</v>
      </c>
      <c r="AD198" s="27">
        <v>32.97</v>
      </c>
      <c r="AE198" s="27">
        <v>39.27</v>
      </c>
      <c r="AF198" s="27">
        <v>748.97</v>
      </c>
      <c r="AG198" s="27"/>
      <c r="AH198" s="27"/>
      <c r="AI198" s="27"/>
      <c r="AJ198" s="27"/>
    </row>
    <row r="199" ht="25.5" customHeight="1">
      <c r="A199" s="23">
        <v>196.0</v>
      </c>
      <c r="B199" s="24">
        <v>46204.0</v>
      </c>
      <c r="C199" s="26" t="s">
        <v>2</v>
      </c>
      <c r="D199" s="26" t="s">
        <v>755</v>
      </c>
      <c r="E199" s="23" t="s">
        <v>756</v>
      </c>
      <c r="F199" s="23" t="s">
        <v>757</v>
      </c>
      <c r="G199" s="26"/>
      <c r="H199" s="26" t="s">
        <v>70</v>
      </c>
      <c r="I199" s="23" t="s">
        <v>72</v>
      </c>
      <c r="J199" s="23" t="s">
        <v>74</v>
      </c>
      <c r="K199" s="27">
        <v>3215.01</v>
      </c>
      <c r="L199" s="27">
        <v>830.09</v>
      </c>
      <c r="M199" s="27">
        <v>1093.56</v>
      </c>
      <c r="N199" s="27">
        <v>849.8</v>
      </c>
      <c r="O199" s="27">
        <v>441.54</v>
      </c>
      <c r="P199" s="27">
        <v>0.0</v>
      </c>
      <c r="Q199" s="27">
        <v>0.0</v>
      </c>
      <c r="R199" s="27">
        <v>0.0</v>
      </c>
      <c r="S199" s="27">
        <v>0.0</v>
      </c>
      <c r="T199" s="27">
        <v>0.0</v>
      </c>
      <c r="U199" s="27">
        <v>3215.01</v>
      </c>
      <c r="V199" s="27">
        <v>620.47</v>
      </c>
      <c r="W199" s="27">
        <v>151.09</v>
      </c>
      <c r="X199" s="27">
        <v>208.88</v>
      </c>
      <c r="Y199" s="27">
        <v>169.84</v>
      </c>
      <c r="Z199" s="27">
        <v>90.64</v>
      </c>
      <c r="AA199" s="27">
        <v>98.17</v>
      </c>
      <c r="AB199" s="27">
        <v>32.01</v>
      </c>
      <c r="AC199" s="27">
        <v>28.93</v>
      </c>
      <c r="AD199" s="27">
        <v>22.28</v>
      </c>
      <c r="AE199" s="27">
        <v>14.92</v>
      </c>
      <c r="AF199" s="27">
        <v>718.64</v>
      </c>
      <c r="AG199" s="27"/>
      <c r="AH199" s="27"/>
      <c r="AI199" s="27"/>
      <c r="AJ199" s="27"/>
    </row>
    <row r="200" ht="25.5" customHeight="1">
      <c r="A200" s="23">
        <v>197.0</v>
      </c>
      <c r="B200" s="24">
        <v>46204.0</v>
      </c>
      <c r="C200" s="26" t="s">
        <v>2</v>
      </c>
      <c r="D200" s="26" t="s">
        <v>377</v>
      </c>
      <c r="E200" s="23" t="s">
        <v>378</v>
      </c>
      <c r="F200" s="23" t="s">
        <v>758</v>
      </c>
      <c r="G200" s="26"/>
      <c r="H200" s="26" t="s">
        <v>70</v>
      </c>
      <c r="I200" s="23" t="s">
        <v>72</v>
      </c>
      <c r="J200" s="23" t="s">
        <v>74</v>
      </c>
      <c r="K200" s="27">
        <v>11349.74</v>
      </c>
      <c r="L200" s="27">
        <v>2657.74</v>
      </c>
      <c r="M200" s="27">
        <v>3826.53</v>
      </c>
      <c r="N200" s="27">
        <v>3157.62</v>
      </c>
      <c r="O200" s="27">
        <v>1707.84</v>
      </c>
      <c r="P200" s="27">
        <v>0.07</v>
      </c>
      <c r="Q200" s="27">
        <v>0.0</v>
      </c>
      <c r="R200" s="27">
        <v>0.06</v>
      </c>
      <c r="S200" s="27">
        <v>0.0</v>
      </c>
      <c r="T200" s="27">
        <v>0.0</v>
      </c>
      <c r="U200" s="27">
        <v>11349.81</v>
      </c>
      <c r="V200" s="27">
        <v>1736.54</v>
      </c>
      <c r="W200" s="27">
        <v>384.21</v>
      </c>
      <c r="X200" s="27">
        <v>578.41</v>
      </c>
      <c r="Y200" s="27">
        <v>490.27</v>
      </c>
      <c r="Z200" s="27">
        <v>283.64</v>
      </c>
      <c r="AA200" s="27">
        <v>140.88</v>
      </c>
      <c r="AB200" s="27">
        <v>42.57</v>
      </c>
      <c r="AC200" s="27">
        <v>40.73</v>
      </c>
      <c r="AD200" s="27">
        <v>29.38</v>
      </c>
      <c r="AE200" s="27">
        <v>28.18</v>
      </c>
      <c r="AF200" s="27">
        <v>1877.42</v>
      </c>
      <c r="AG200" s="27"/>
      <c r="AH200" s="27"/>
      <c r="AI200" s="27"/>
      <c r="AJ200" s="27"/>
    </row>
    <row r="201" ht="25.5" customHeight="1">
      <c r="A201" s="23">
        <v>198.0</v>
      </c>
      <c r="B201" s="24">
        <v>46204.0</v>
      </c>
      <c r="C201" s="26" t="s">
        <v>2</v>
      </c>
      <c r="D201" s="26" t="s">
        <v>191</v>
      </c>
      <c r="E201" s="23" t="s">
        <v>192</v>
      </c>
      <c r="F201" s="23" t="s">
        <v>759</v>
      </c>
      <c r="G201" s="26"/>
      <c r="H201" s="26" t="s">
        <v>70</v>
      </c>
      <c r="I201" s="23" t="s">
        <v>72</v>
      </c>
      <c r="J201" s="23" t="s">
        <v>74</v>
      </c>
      <c r="K201" s="27">
        <v>9943.56</v>
      </c>
      <c r="L201" s="27">
        <v>2098.53</v>
      </c>
      <c r="M201" s="27">
        <v>3474.13</v>
      </c>
      <c r="N201" s="27">
        <v>2981.74</v>
      </c>
      <c r="O201" s="27">
        <v>1389.14</v>
      </c>
      <c r="P201" s="27">
        <v>0.0</v>
      </c>
      <c r="Q201" s="27">
        <v>0.0</v>
      </c>
      <c r="R201" s="27">
        <v>0.0</v>
      </c>
      <c r="S201" s="27">
        <v>0.0</v>
      </c>
      <c r="T201" s="27">
        <v>0.0</v>
      </c>
      <c r="U201" s="27">
        <v>9943.56</v>
      </c>
      <c r="V201" s="27">
        <v>1153.66</v>
      </c>
      <c r="W201" s="27">
        <v>245.14</v>
      </c>
      <c r="X201" s="27">
        <v>399.2</v>
      </c>
      <c r="Y201" s="27">
        <v>335.23</v>
      </c>
      <c r="Z201" s="27">
        <v>174.08</v>
      </c>
      <c r="AA201" s="27">
        <v>93.85</v>
      </c>
      <c r="AB201" s="27">
        <v>30.42</v>
      </c>
      <c r="AC201" s="27">
        <v>25.61</v>
      </c>
      <c r="AD201" s="27">
        <v>18.68</v>
      </c>
      <c r="AE201" s="27">
        <v>19.12</v>
      </c>
      <c r="AF201" s="27">
        <v>1247.51</v>
      </c>
      <c r="AG201" s="27"/>
      <c r="AH201" s="27"/>
      <c r="AI201" s="27"/>
      <c r="AJ201" s="27"/>
    </row>
    <row r="202" ht="25.5" customHeight="1">
      <c r="A202" s="23">
        <v>199.0</v>
      </c>
      <c r="B202" s="24">
        <v>46204.0</v>
      </c>
      <c r="C202" s="26" t="s">
        <v>2</v>
      </c>
      <c r="D202" s="26" t="s">
        <v>760</v>
      </c>
      <c r="E202" s="23" t="s">
        <v>761</v>
      </c>
      <c r="F202" s="23" t="s">
        <v>762</v>
      </c>
      <c r="G202" s="26"/>
      <c r="H202" s="26" t="s">
        <v>70</v>
      </c>
      <c r="I202" s="23" t="s">
        <v>81</v>
      </c>
      <c r="J202" s="23" t="s">
        <v>74</v>
      </c>
      <c r="K202" s="27">
        <v>4766.76</v>
      </c>
      <c r="L202" s="27">
        <v>1549.41</v>
      </c>
      <c r="M202" s="27">
        <v>1842.68</v>
      </c>
      <c r="N202" s="27">
        <v>1374.63</v>
      </c>
      <c r="O202" s="27">
        <v>0.02</v>
      </c>
      <c r="P202" s="27">
        <v>18974.29</v>
      </c>
      <c r="Q202" s="27">
        <v>2551.51</v>
      </c>
      <c r="R202" s="27">
        <v>5503.49</v>
      </c>
      <c r="S202" s="27">
        <v>4665.85</v>
      </c>
      <c r="T202" s="27">
        <v>6253.43</v>
      </c>
      <c r="U202" s="27">
        <v>23741.05</v>
      </c>
      <c r="V202" s="27">
        <v>439.41</v>
      </c>
      <c r="W202" s="27">
        <v>73.35</v>
      </c>
      <c r="X202" s="27">
        <v>136.72</v>
      </c>
      <c r="Y202" s="27">
        <v>129.68</v>
      </c>
      <c r="Z202" s="27">
        <v>99.65</v>
      </c>
      <c r="AA202" s="27">
        <v>1210.55</v>
      </c>
      <c r="AB202" s="27">
        <v>170.47</v>
      </c>
      <c r="AC202" s="27">
        <v>456.74</v>
      </c>
      <c r="AD202" s="27">
        <v>267.28</v>
      </c>
      <c r="AE202" s="27">
        <v>316.03</v>
      </c>
      <c r="AF202" s="27">
        <v>1649.96</v>
      </c>
      <c r="AG202" s="27"/>
      <c r="AH202" s="27"/>
      <c r="AI202" s="27"/>
      <c r="AJ202" s="27"/>
    </row>
    <row r="203" ht="25.5" customHeight="1">
      <c r="A203" s="23">
        <v>200.0</v>
      </c>
      <c r="B203" s="24">
        <v>46204.0</v>
      </c>
      <c r="C203" s="26" t="s">
        <v>2</v>
      </c>
      <c r="D203" s="26" t="s">
        <v>193</v>
      </c>
      <c r="E203" s="23" t="s">
        <v>194</v>
      </c>
      <c r="F203" s="23" t="s">
        <v>763</v>
      </c>
      <c r="G203" s="26"/>
      <c r="H203" s="26" t="s">
        <v>70</v>
      </c>
      <c r="I203" s="23" t="s">
        <v>81</v>
      </c>
      <c r="J203" s="23" t="s">
        <v>74</v>
      </c>
      <c r="K203" s="27">
        <v>11074.75</v>
      </c>
      <c r="L203" s="27">
        <v>2914.13</v>
      </c>
      <c r="M203" s="27">
        <v>3892.16</v>
      </c>
      <c r="N203" s="27">
        <v>3023.83</v>
      </c>
      <c r="O203" s="27">
        <v>1244.61</v>
      </c>
      <c r="P203" s="27">
        <v>2142.56</v>
      </c>
      <c r="Q203" s="27">
        <v>439.75</v>
      </c>
      <c r="R203" s="27">
        <v>703.43</v>
      </c>
      <c r="S203" s="27">
        <v>573.59</v>
      </c>
      <c r="T203" s="27">
        <v>425.77</v>
      </c>
      <c r="U203" s="27">
        <v>13217.31</v>
      </c>
      <c r="V203" s="27">
        <v>2441.54</v>
      </c>
      <c r="W203" s="27">
        <v>568.68</v>
      </c>
      <c r="X203" s="27">
        <v>863.8</v>
      </c>
      <c r="Y203" s="27">
        <v>746.37</v>
      </c>
      <c r="Z203" s="27">
        <v>262.68</v>
      </c>
      <c r="AA203" s="27">
        <v>2173.27</v>
      </c>
      <c r="AB203" s="27">
        <v>290.0</v>
      </c>
      <c r="AC203" s="27">
        <v>645.9</v>
      </c>
      <c r="AD203" s="27">
        <v>495.66</v>
      </c>
      <c r="AE203" s="27">
        <v>741.7</v>
      </c>
      <c r="AF203" s="27">
        <v>4614.81</v>
      </c>
      <c r="AG203" s="27"/>
      <c r="AH203" s="27"/>
      <c r="AI203" s="27"/>
      <c r="AJ203" s="27"/>
    </row>
    <row r="204" ht="25.5" customHeight="1">
      <c r="A204" s="23">
        <v>201.0</v>
      </c>
      <c r="B204" s="24">
        <v>46204.0</v>
      </c>
      <c r="C204" s="26" t="s">
        <v>2</v>
      </c>
      <c r="D204" s="26" t="s">
        <v>764</v>
      </c>
      <c r="E204" s="23" t="s">
        <v>765</v>
      </c>
      <c r="F204" s="23" t="s">
        <v>766</v>
      </c>
      <c r="G204" s="26"/>
      <c r="H204" s="26" t="s">
        <v>70</v>
      </c>
      <c r="I204" s="23" t="s">
        <v>107</v>
      </c>
      <c r="J204" s="23" t="s">
        <v>74</v>
      </c>
      <c r="K204" s="27">
        <v>16889.1</v>
      </c>
      <c r="L204" s="27">
        <v>3600.13</v>
      </c>
      <c r="M204" s="27">
        <v>5543.76</v>
      </c>
      <c r="N204" s="27">
        <v>4571.43</v>
      </c>
      <c r="O204" s="27">
        <v>3173.77</v>
      </c>
      <c r="P204" s="27">
        <v>0.0</v>
      </c>
      <c r="Q204" s="27">
        <v>0.0</v>
      </c>
      <c r="R204" s="27">
        <v>0.0</v>
      </c>
      <c r="S204" s="27">
        <v>0.0</v>
      </c>
      <c r="T204" s="27">
        <v>0.0</v>
      </c>
      <c r="U204" s="27">
        <v>16889.1</v>
      </c>
      <c r="V204" s="27">
        <v>2622.01</v>
      </c>
      <c r="W204" s="27">
        <v>549.07</v>
      </c>
      <c r="X204" s="27">
        <v>1020.21</v>
      </c>
      <c r="Y204" s="27">
        <v>795.16</v>
      </c>
      <c r="Z204" s="27">
        <v>257.56</v>
      </c>
      <c r="AA204" s="27">
        <v>66.05</v>
      </c>
      <c r="AB204" s="27">
        <v>23.94</v>
      </c>
      <c r="AC204" s="27">
        <v>18.62</v>
      </c>
      <c r="AD204" s="27">
        <v>12.7</v>
      </c>
      <c r="AE204" s="27">
        <v>10.78</v>
      </c>
      <c r="AF204" s="27">
        <v>2688.06</v>
      </c>
      <c r="AG204" s="27"/>
      <c r="AH204" s="27"/>
      <c r="AI204" s="27"/>
      <c r="AJ204" s="27"/>
    </row>
    <row r="205" ht="25.5" customHeight="1">
      <c r="A205" s="23">
        <v>202.0</v>
      </c>
      <c r="B205" s="24">
        <v>46204.0</v>
      </c>
      <c r="C205" s="26" t="s">
        <v>2</v>
      </c>
      <c r="D205" s="26" t="s">
        <v>767</v>
      </c>
      <c r="E205" s="23" t="s">
        <v>768</v>
      </c>
      <c r="F205" s="23" t="s">
        <v>769</v>
      </c>
      <c r="G205" s="26"/>
      <c r="H205" s="26" t="s">
        <v>70</v>
      </c>
      <c r="I205" s="23" t="s">
        <v>72</v>
      </c>
      <c r="J205" s="23" t="s">
        <v>74</v>
      </c>
      <c r="K205" s="27">
        <v>14516.54</v>
      </c>
      <c r="L205" s="27">
        <v>3102.68</v>
      </c>
      <c r="M205" s="27">
        <v>4755.18</v>
      </c>
      <c r="N205" s="27">
        <v>3901.81</v>
      </c>
      <c r="O205" s="27">
        <v>2756.85</v>
      </c>
      <c r="P205" s="27">
        <v>15.41</v>
      </c>
      <c r="Q205" s="27">
        <v>0.0</v>
      </c>
      <c r="R205" s="27">
        <v>0.7</v>
      </c>
      <c r="S205" s="27">
        <v>14.7</v>
      </c>
      <c r="T205" s="27">
        <v>0.0</v>
      </c>
      <c r="U205" s="27">
        <v>14531.95</v>
      </c>
      <c r="V205" s="27">
        <v>470.54</v>
      </c>
      <c r="W205" s="27">
        <v>89.57</v>
      </c>
      <c r="X205" s="27">
        <v>166.37</v>
      </c>
      <c r="Y205" s="27">
        <v>132.67</v>
      </c>
      <c r="Z205" s="27">
        <v>81.91</v>
      </c>
      <c r="AA205" s="27">
        <v>199.96</v>
      </c>
      <c r="AB205" s="27">
        <v>55.1</v>
      </c>
      <c r="AC205" s="27">
        <v>56.1</v>
      </c>
      <c r="AD205" s="27">
        <v>43.03</v>
      </c>
      <c r="AE205" s="27">
        <v>45.71</v>
      </c>
      <c r="AF205" s="27">
        <v>670.5</v>
      </c>
      <c r="AG205" s="27"/>
      <c r="AH205" s="27"/>
      <c r="AI205" s="27"/>
      <c r="AJ205" s="27"/>
    </row>
    <row r="206" ht="25.5" customHeight="1">
      <c r="A206" s="23">
        <v>203.0</v>
      </c>
      <c r="B206" s="24">
        <v>46204.0</v>
      </c>
      <c r="C206" s="26" t="s">
        <v>2</v>
      </c>
      <c r="D206" s="26" t="s">
        <v>109</v>
      </c>
      <c r="E206" s="23" t="s">
        <v>770</v>
      </c>
      <c r="F206" s="23" t="s">
        <v>771</v>
      </c>
      <c r="G206" s="26"/>
      <c r="H206" s="26" t="s">
        <v>70</v>
      </c>
      <c r="I206" s="23" t="s">
        <v>72</v>
      </c>
      <c r="J206" s="23" t="s">
        <v>74</v>
      </c>
      <c r="K206" s="27">
        <v>10395.68</v>
      </c>
      <c r="L206" s="27">
        <v>1553.47</v>
      </c>
      <c r="M206" s="27">
        <v>3054.6</v>
      </c>
      <c r="N206" s="27">
        <v>2630.79</v>
      </c>
      <c r="O206" s="27">
        <v>3156.8</v>
      </c>
      <c r="P206" s="27">
        <v>2216.76</v>
      </c>
      <c r="Q206" s="27">
        <v>725.42</v>
      </c>
      <c r="R206" s="27">
        <v>813.26</v>
      </c>
      <c r="S206" s="27">
        <v>678.07</v>
      </c>
      <c r="T206" s="27">
        <v>0.0</v>
      </c>
      <c r="U206" s="27">
        <v>12612.44</v>
      </c>
      <c r="V206" s="27">
        <v>4224.85</v>
      </c>
      <c r="W206" s="27">
        <v>1159.65</v>
      </c>
      <c r="X206" s="27">
        <v>1611.03</v>
      </c>
      <c r="Y206" s="27">
        <v>1182.54</v>
      </c>
      <c r="Z206" s="27">
        <v>271.62</v>
      </c>
      <c r="AA206" s="27">
        <v>58.42</v>
      </c>
      <c r="AB206" s="27">
        <v>7.12</v>
      </c>
      <c r="AC206" s="27">
        <v>15.29</v>
      </c>
      <c r="AD206" s="27">
        <v>14.95</v>
      </c>
      <c r="AE206" s="27">
        <v>21.04</v>
      </c>
      <c r="AF206" s="27">
        <v>4283.27</v>
      </c>
      <c r="AG206" s="27"/>
      <c r="AH206" s="27"/>
      <c r="AI206" s="27"/>
      <c r="AJ206" s="27"/>
    </row>
    <row r="207" ht="25.5" customHeight="1">
      <c r="A207" s="23">
        <v>204.0</v>
      </c>
      <c r="B207" s="24">
        <v>46204.0</v>
      </c>
      <c r="C207" s="26" t="s">
        <v>2</v>
      </c>
      <c r="D207" s="26" t="s">
        <v>772</v>
      </c>
      <c r="E207" s="23" t="s">
        <v>773</v>
      </c>
      <c r="F207" s="23" t="s">
        <v>774</v>
      </c>
      <c r="G207" s="26"/>
      <c r="H207" s="26" t="s">
        <v>70</v>
      </c>
      <c r="I207" s="23" t="s">
        <v>107</v>
      </c>
      <c r="J207" s="23" t="s">
        <v>74</v>
      </c>
      <c r="K207" s="27">
        <v>6202.1</v>
      </c>
      <c r="L207" s="27">
        <v>1522.33</v>
      </c>
      <c r="M207" s="27">
        <v>2239.92</v>
      </c>
      <c r="N207" s="27">
        <v>1886.97</v>
      </c>
      <c r="O207" s="27">
        <v>552.86</v>
      </c>
      <c r="P207" s="27">
        <v>5065.03</v>
      </c>
      <c r="Q207" s="27">
        <v>1188.29</v>
      </c>
      <c r="R207" s="27">
        <v>1735.7</v>
      </c>
      <c r="S207" s="27">
        <v>1469.77</v>
      </c>
      <c r="T207" s="27">
        <v>671.26</v>
      </c>
      <c r="U207" s="27">
        <v>11267.13</v>
      </c>
      <c r="V207" s="27">
        <v>7528.13</v>
      </c>
      <c r="W207" s="27">
        <v>1828.74</v>
      </c>
      <c r="X207" s="27">
        <v>2648.04</v>
      </c>
      <c r="Y207" s="27">
        <v>2433.39</v>
      </c>
      <c r="Z207" s="27">
        <v>617.95</v>
      </c>
      <c r="AA207" s="27">
        <v>3311.52</v>
      </c>
      <c r="AB207" s="27">
        <v>817.05</v>
      </c>
      <c r="AC207" s="27">
        <v>1130.57</v>
      </c>
      <c r="AD207" s="27">
        <v>830.24</v>
      </c>
      <c r="AE207" s="27">
        <v>533.65</v>
      </c>
      <c r="AF207" s="27">
        <v>10839.65</v>
      </c>
      <c r="AG207" s="27"/>
      <c r="AH207" s="27"/>
      <c r="AI207" s="27"/>
      <c r="AJ207" s="27"/>
    </row>
    <row r="208" ht="25.5" customHeight="1">
      <c r="A208" s="23">
        <v>205.0</v>
      </c>
      <c r="B208" s="24">
        <v>46204.0</v>
      </c>
      <c r="C208" s="26" t="s">
        <v>2</v>
      </c>
      <c r="D208" s="26" t="s">
        <v>775</v>
      </c>
      <c r="E208" s="23" t="s">
        <v>776</v>
      </c>
      <c r="F208" s="23" t="s">
        <v>777</v>
      </c>
      <c r="G208" s="26"/>
      <c r="H208" s="26" t="s">
        <v>70</v>
      </c>
      <c r="I208" s="23" t="s">
        <v>107</v>
      </c>
      <c r="J208" s="23" t="s">
        <v>74</v>
      </c>
      <c r="K208" s="27">
        <v>10218.19</v>
      </c>
      <c r="L208" s="27">
        <v>2722.02</v>
      </c>
      <c r="M208" s="27">
        <v>3610.54</v>
      </c>
      <c r="N208" s="27">
        <v>2783.6</v>
      </c>
      <c r="O208" s="27">
        <v>1102.02</v>
      </c>
      <c r="P208" s="27">
        <v>4886.65</v>
      </c>
      <c r="Q208" s="27">
        <v>968.85</v>
      </c>
      <c r="R208" s="27">
        <v>1567.2</v>
      </c>
      <c r="S208" s="27">
        <v>1343.29</v>
      </c>
      <c r="T208" s="27">
        <v>1007.29</v>
      </c>
      <c r="U208" s="27">
        <v>15104.84</v>
      </c>
      <c r="V208" s="27">
        <v>4955.43</v>
      </c>
      <c r="W208" s="27">
        <v>1081.62</v>
      </c>
      <c r="X208" s="27">
        <v>1685.24</v>
      </c>
      <c r="Y208" s="27">
        <v>1518.69</v>
      </c>
      <c r="Z208" s="27">
        <v>669.86</v>
      </c>
      <c r="AA208" s="27">
        <v>8700.36</v>
      </c>
      <c r="AB208" s="27">
        <v>2069.93</v>
      </c>
      <c r="AC208" s="27">
        <v>2950.06</v>
      </c>
      <c r="AD208" s="27">
        <v>2294.77</v>
      </c>
      <c r="AE208" s="27">
        <v>1385.58</v>
      </c>
      <c r="AF208" s="27">
        <v>13655.79</v>
      </c>
      <c r="AG208" s="27"/>
      <c r="AH208" s="27"/>
      <c r="AI208" s="27"/>
      <c r="AJ208" s="27"/>
    </row>
    <row r="209" ht="25.5" customHeight="1">
      <c r="A209" s="23">
        <v>206.0</v>
      </c>
      <c r="B209" s="24">
        <v>46204.0</v>
      </c>
      <c r="C209" s="26" t="s">
        <v>2</v>
      </c>
      <c r="D209" s="26" t="s">
        <v>778</v>
      </c>
      <c r="E209" s="23" t="s">
        <v>779</v>
      </c>
      <c r="F209" s="23" t="s">
        <v>780</v>
      </c>
      <c r="G209" s="26"/>
      <c r="H209" s="26" t="s">
        <v>70</v>
      </c>
      <c r="I209" s="23" t="s">
        <v>107</v>
      </c>
      <c r="J209" s="23" t="s">
        <v>74</v>
      </c>
      <c r="K209" s="27">
        <v>2280.03</v>
      </c>
      <c r="L209" s="27">
        <v>391.9</v>
      </c>
      <c r="M209" s="27">
        <v>744.05</v>
      </c>
      <c r="N209" s="27">
        <v>639.29</v>
      </c>
      <c r="O209" s="27">
        <v>504.76</v>
      </c>
      <c r="P209" s="27">
        <v>1319.24</v>
      </c>
      <c r="Q209" s="27">
        <v>188.77</v>
      </c>
      <c r="R209" s="27">
        <v>362.26</v>
      </c>
      <c r="S209" s="27">
        <v>347.14</v>
      </c>
      <c r="T209" s="27">
        <v>421.06</v>
      </c>
      <c r="U209" s="27">
        <v>3599.27</v>
      </c>
      <c r="V209" s="27">
        <v>108.38</v>
      </c>
      <c r="W209" s="27">
        <v>20.42</v>
      </c>
      <c r="X209" s="27">
        <v>40.14</v>
      </c>
      <c r="Y209" s="27">
        <v>27.64</v>
      </c>
      <c r="Z209" s="27">
        <v>20.17</v>
      </c>
      <c r="AA209" s="27">
        <v>2790.19</v>
      </c>
      <c r="AB209" s="27">
        <v>390.17</v>
      </c>
      <c r="AC209" s="27">
        <v>805.61</v>
      </c>
      <c r="AD209" s="27">
        <v>769.84</v>
      </c>
      <c r="AE209" s="27">
        <v>824.55</v>
      </c>
      <c r="AF209" s="27">
        <v>2898.57</v>
      </c>
      <c r="AG209" s="27"/>
      <c r="AH209" s="27"/>
      <c r="AI209" s="27"/>
      <c r="AJ209" s="27"/>
    </row>
    <row r="210" ht="25.5" customHeight="1">
      <c r="A210" s="23">
        <v>207.0</v>
      </c>
      <c r="B210" s="24">
        <v>46204.0</v>
      </c>
      <c r="C210" s="26" t="s">
        <v>2</v>
      </c>
      <c r="D210" s="26" t="s">
        <v>781</v>
      </c>
      <c r="E210" s="23" t="s">
        <v>782</v>
      </c>
      <c r="F210" s="23" t="s">
        <v>783</v>
      </c>
      <c r="G210" s="26"/>
      <c r="H210" s="26" t="s">
        <v>70</v>
      </c>
      <c r="I210" s="23" t="s">
        <v>107</v>
      </c>
      <c r="J210" s="23" t="s">
        <v>74</v>
      </c>
      <c r="K210" s="27">
        <v>19828.57</v>
      </c>
      <c r="L210" s="27">
        <v>4467.77</v>
      </c>
      <c r="M210" s="27">
        <v>6828.9</v>
      </c>
      <c r="N210" s="27">
        <v>5555.85</v>
      </c>
      <c r="O210" s="27">
        <v>2976.04</v>
      </c>
      <c r="P210" s="27">
        <v>0.0</v>
      </c>
      <c r="Q210" s="27">
        <v>0.0</v>
      </c>
      <c r="R210" s="27">
        <v>0.0</v>
      </c>
      <c r="S210" s="27">
        <v>0.0</v>
      </c>
      <c r="T210" s="27">
        <v>0.0</v>
      </c>
      <c r="U210" s="27">
        <v>19828.57</v>
      </c>
      <c r="V210" s="27">
        <v>2069.19</v>
      </c>
      <c r="W210" s="27">
        <v>473.75</v>
      </c>
      <c r="X210" s="27">
        <v>698.94</v>
      </c>
      <c r="Y210" s="27">
        <v>632.03</v>
      </c>
      <c r="Z210" s="27">
        <v>264.45</v>
      </c>
      <c r="AA210" s="27">
        <v>42.49</v>
      </c>
      <c r="AB210" s="27">
        <v>10.2</v>
      </c>
      <c r="AC210" s="27">
        <v>4.36</v>
      </c>
      <c r="AD210" s="27">
        <v>4.99</v>
      </c>
      <c r="AE210" s="27">
        <v>22.92</v>
      </c>
      <c r="AF210" s="27">
        <v>2111.68</v>
      </c>
      <c r="AG210" s="27"/>
      <c r="AH210" s="27"/>
      <c r="AI210" s="27"/>
      <c r="AJ210" s="27"/>
    </row>
    <row r="211" ht="25.5" customHeight="1">
      <c r="A211" s="23">
        <v>208.0</v>
      </c>
      <c r="B211" s="24">
        <v>46204.0</v>
      </c>
      <c r="C211" s="26" t="s">
        <v>2</v>
      </c>
      <c r="D211" s="26" t="s">
        <v>258</v>
      </c>
      <c r="E211" s="23" t="s">
        <v>259</v>
      </c>
      <c r="F211" s="23" t="s">
        <v>784</v>
      </c>
      <c r="G211" s="26"/>
      <c r="H211" s="26" t="s">
        <v>70</v>
      </c>
      <c r="I211" s="23" t="s">
        <v>141</v>
      </c>
      <c r="J211" s="23" t="s">
        <v>74</v>
      </c>
      <c r="K211" s="27">
        <v>15.85</v>
      </c>
      <c r="L211" s="27">
        <v>0.78</v>
      </c>
      <c r="M211" s="27">
        <v>1.47</v>
      </c>
      <c r="N211" s="27">
        <v>0.17</v>
      </c>
      <c r="O211" s="27">
        <v>13.41</v>
      </c>
      <c r="P211" s="27">
        <v>2360.61</v>
      </c>
      <c r="Q211" s="27">
        <v>325.96</v>
      </c>
      <c r="R211" s="27">
        <v>677.54</v>
      </c>
      <c r="S211" s="27">
        <v>597.37</v>
      </c>
      <c r="T211" s="27">
        <v>759.72</v>
      </c>
      <c r="U211" s="27">
        <v>2376.46</v>
      </c>
      <c r="V211" s="27">
        <v>0.01</v>
      </c>
      <c r="W211" s="27">
        <v>0.0</v>
      </c>
      <c r="X211" s="27">
        <v>0.0</v>
      </c>
      <c r="Y211" s="27">
        <v>0.0</v>
      </c>
      <c r="Z211" s="27">
        <v>0.0</v>
      </c>
      <c r="AA211" s="27">
        <v>5671.76</v>
      </c>
      <c r="AB211" s="27">
        <v>773.34</v>
      </c>
      <c r="AC211" s="27">
        <v>1818.4</v>
      </c>
      <c r="AD211" s="27">
        <v>1382.38</v>
      </c>
      <c r="AE211" s="27">
        <v>1697.63</v>
      </c>
      <c r="AF211" s="27">
        <v>5671.77</v>
      </c>
      <c r="AG211" s="27"/>
      <c r="AH211" s="27"/>
      <c r="AI211" s="27"/>
      <c r="AJ211" s="27"/>
    </row>
    <row r="212" ht="25.5" customHeight="1">
      <c r="A212" s="23">
        <v>209.0</v>
      </c>
      <c r="B212" s="24">
        <v>46204.0</v>
      </c>
      <c r="C212" s="26" t="s">
        <v>2</v>
      </c>
      <c r="D212" s="26" t="s">
        <v>785</v>
      </c>
      <c r="E212" s="23" t="s">
        <v>786</v>
      </c>
      <c r="F212" s="23" t="s">
        <v>787</v>
      </c>
      <c r="G212" s="26"/>
      <c r="H212" s="26" t="s">
        <v>70</v>
      </c>
      <c r="I212" s="23" t="s">
        <v>107</v>
      </c>
      <c r="J212" s="23" t="s">
        <v>74</v>
      </c>
      <c r="K212" s="27">
        <v>1804.91</v>
      </c>
      <c r="L212" s="27">
        <v>516.53</v>
      </c>
      <c r="M212" s="27">
        <v>746.88</v>
      </c>
      <c r="N212" s="27">
        <v>541.49</v>
      </c>
      <c r="O212" s="27">
        <v>0.0</v>
      </c>
      <c r="P212" s="27">
        <v>0.0</v>
      </c>
      <c r="Q212" s="27">
        <v>0.0</v>
      </c>
      <c r="R212" s="27">
        <v>0.0</v>
      </c>
      <c r="S212" s="27">
        <v>0.0</v>
      </c>
      <c r="T212" s="27">
        <v>0.0</v>
      </c>
      <c r="U212" s="27">
        <v>1804.91</v>
      </c>
      <c r="V212" s="27">
        <v>162.11</v>
      </c>
      <c r="W212" s="27">
        <v>43.16</v>
      </c>
      <c r="X212" s="27">
        <v>59.63</v>
      </c>
      <c r="Y212" s="27">
        <v>59.31</v>
      </c>
      <c r="Z212" s="27">
        <v>0.0</v>
      </c>
      <c r="AA212" s="27">
        <v>16.57</v>
      </c>
      <c r="AB212" s="27">
        <v>7.43</v>
      </c>
      <c r="AC212" s="27">
        <v>6.32</v>
      </c>
      <c r="AD212" s="27">
        <v>2.82</v>
      </c>
      <c r="AE212" s="27">
        <v>0.0</v>
      </c>
      <c r="AF212" s="27">
        <v>178.68</v>
      </c>
      <c r="AG212" s="27"/>
      <c r="AH212" s="27"/>
      <c r="AI212" s="27"/>
      <c r="AJ212" s="27"/>
    </row>
    <row r="213" ht="25.5" customHeight="1">
      <c r="A213" s="23">
        <v>210.0</v>
      </c>
      <c r="B213" s="24">
        <v>46204.0</v>
      </c>
      <c r="C213" s="26" t="s">
        <v>2</v>
      </c>
      <c r="D213" s="26" t="s">
        <v>221</v>
      </c>
      <c r="E213" s="23" t="s">
        <v>222</v>
      </c>
      <c r="F213" s="23" t="s">
        <v>788</v>
      </c>
      <c r="G213" s="26"/>
      <c r="H213" s="26" t="s">
        <v>70</v>
      </c>
      <c r="I213" s="23" t="s">
        <v>81</v>
      </c>
      <c r="J213" s="23" t="s">
        <v>74</v>
      </c>
      <c r="K213" s="27">
        <v>5628.16</v>
      </c>
      <c r="L213" s="27">
        <v>736.6</v>
      </c>
      <c r="M213" s="27">
        <v>1953.52</v>
      </c>
      <c r="N213" s="27">
        <v>1188.53</v>
      </c>
      <c r="O213" s="27">
        <v>1749.49</v>
      </c>
      <c r="P213" s="27">
        <v>126.24</v>
      </c>
      <c r="Q213" s="27">
        <v>13.41</v>
      </c>
      <c r="R213" s="27">
        <v>50.21</v>
      </c>
      <c r="S213" s="27">
        <v>26.62</v>
      </c>
      <c r="T213" s="27">
        <v>35.97</v>
      </c>
      <c r="U213" s="27">
        <v>5754.4</v>
      </c>
      <c r="V213" s="27">
        <v>747.81</v>
      </c>
      <c r="W213" s="27">
        <v>90.39</v>
      </c>
      <c r="X213" s="27">
        <v>253.67</v>
      </c>
      <c r="Y213" s="27">
        <v>145.46</v>
      </c>
      <c r="Z213" s="27">
        <v>258.26</v>
      </c>
      <c r="AA213" s="27">
        <v>50.03</v>
      </c>
      <c r="AB213" s="27">
        <v>5.2</v>
      </c>
      <c r="AC213" s="27">
        <v>19.54</v>
      </c>
      <c r="AD213" s="27">
        <v>10.5</v>
      </c>
      <c r="AE213" s="27">
        <v>14.78</v>
      </c>
      <c r="AF213" s="27">
        <v>797.84</v>
      </c>
      <c r="AG213" s="27"/>
      <c r="AH213" s="27"/>
      <c r="AI213" s="27"/>
      <c r="AJ213" s="27"/>
    </row>
    <row r="214" ht="25.5" customHeight="1">
      <c r="A214" s="23">
        <v>211.0</v>
      </c>
      <c r="B214" s="24">
        <v>46204.0</v>
      </c>
      <c r="C214" s="26" t="s">
        <v>2</v>
      </c>
      <c r="D214" s="26" t="s">
        <v>789</v>
      </c>
      <c r="E214" s="23" t="s">
        <v>790</v>
      </c>
      <c r="F214" s="23" t="s">
        <v>791</v>
      </c>
      <c r="G214" s="26"/>
      <c r="H214" s="26" t="s">
        <v>70</v>
      </c>
      <c r="I214" s="23" t="s">
        <v>107</v>
      </c>
      <c r="J214" s="23" t="s">
        <v>74</v>
      </c>
      <c r="K214" s="27">
        <v>2475.55</v>
      </c>
      <c r="L214" s="27">
        <v>849.2</v>
      </c>
      <c r="M214" s="27">
        <v>904.58</v>
      </c>
      <c r="N214" s="27">
        <v>721.76</v>
      </c>
      <c r="O214" s="27">
        <v>0.0</v>
      </c>
      <c r="P214" s="27">
        <v>0.17</v>
      </c>
      <c r="Q214" s="27">
        <v>0.0</v>
      </c>
      <c r="R214" s="27">
        <v>0.03</v>
      </c>
      <c r="S214" s="27">
        <v>0.14</v>
      </c>
      <c r="T214" s="27">
        <v>0.0</v>
      </c>
      <c r="U214" s="27">
        <v>2475.72</v>
      </c>
      <c r="V214" s="27">
        <v>4.9</v>
      </c>
      <c r="W214" s="27">
        <v>0.24</v>
      </c>
      <c r="X214" s="27">
        <v>1.28</v>
      </c>
      <c r="Y214" s="27">
        <v>3.36</v>
      </c>
      <c r="Z214" s="27">
        <v>0.0</v>
      </c>
      <c r="AA214" s="27">
        <v>257.63</v>
      </c>
      <c r="AB214" s="27">
        <v>99.66</v>
      </c>
      <c r="AC214" s="27">
        <v>94.34</v>
      </c>
      <c r="AD214" s="27">
        <v>63.62</v>
      </c>
      <c r="AE214" s="27">
        <v>0.0</v>
      </c>
      <c r="AF214" s="27">
        <v>262.53</v>
      </c>
      <c r="AG214" s="27"/>
      <c r="AH214" s="27"/>
      <c r="AI214" s="27"/>
      <c r="AJ214" s="27"/>
    </row>
    <row r="215" ht="25.5" customHeight="1">
      <c r="A215" s="23">
        <v>212.0</v>
      </c>
      <c r="B215" s="24">
        <v>46204.0</v>
      </c>
      <c r="C215" s="26" t="s">
        <v>2</v>
      </c>
      <c r="D215" s="26" t="s">
        <v>792</v>
      </c>
      <c r="E215" s="23" t="s">
        <v>793</v>
      </c>
      <c r="F215" s="23" t="s">
        <v>794</v>
      </c>
      <c r="G215" s="26"/>
      <c r="H215" s="26" t="s">
        <v>70</v>
      </c>
      <c r="I215" s="23" t="s">
        <v>107</v>
      </c>
      <c r="J215" s="23" t="s">
        <v>74</v>
      </c>
      <c r="K215" s="27">
        <v>1.01</v>
      </c>
      <c r="L215" s="27">
        <v>0.0</v>
      </c>
      <c r="M215" s="27">
        <v>1.0</v>
      </c>
      <c r="N215" s="27">
        <v>0.0</v>
      </c>
      <c r="O215" s="27">
        <v>0.0</v>
      </c>
      <c r="P215" s="27">
        <v>0.0</v>
      </c>
      <c r="Q215" s="27">
        <v>0.0</v>
      </c>
      <c r="R215" s="27">
        <v>0.0</v>
      </c>
      <c r="S215" s="27">
        <v>0.0</v>
      </c>
      <c r="T215" s="27">
        <v>0.0</v>
      </c>
      <c r="U215" s="27">
        <v>1.01</v>
      </c>
      <c r="V215" s="27">
        <v>0.0</v>
      </c>
      <c r="W215" s="27">
        <v>0.0</v>
      </c>
      <c r="X215" s="27">
        <v>0.0</v>
      </c>
      <c r="Y215" s="27">
        <v>0.0</v>
      </c>
      <c r="Z215" s="27">
        <v>0.0</v>
      </c>
      <c r="AA215" s="27">
        <v>0.0</v>
      </c>
      <c r="AB215" s="27">
        <v>0.0</v>
      </c>
      <c r="AC215" s="27">
        <v>0.0</v>
      </c>
      <c r="AD215" s="27">
        <v>0.0</v>
      </c>
      <c r="AE215" s="27">
        <v>0.0</v>
      </c>
      <c r="AF215" s="27">
        <v>0.0</v>
      </c>
      <c r="AG215" s="27"/>
      <c r="AH215" s="27"/>
      <c r="AI215" s="27"/>
      <c r="AJ215" s="27"/>
    </row>
    <row r="216" ht="25.5" customHeight="1">
      <c r="A216" s="23">
        <v>213.0</v>
      </c>
      <c r="B216" s="24">
        <v>46204.0</v>
      </c>
      <c r="C216" s="26" t="s">
        <v>2</v>
      </c>
      <c r="D216" s="26" t="s">
        <v>795</v>
      </c>
      <c r="E216" s="23" t="s">
        <v>796</v>
      </c>
      <c r="F216" s="23" t="s">
        <v>797</v>
      </c>
      <c r="G216" s="26"/>
      <c r="H216" s="26" t="s">
        <v>70</v>
      </c>
      <c r="I216" s="23" t="s">
        <v>72</v>
      </c>
      <c r="J216" s="23" t="s">
        <v>74</v>
      </c>
      <c r="K216" s="27">
        <v>92.44</v>
      </c>
      <c r="L216" s="27">
        <v>28.03</v>
      </c>
      <c r="M216" s="27">
        <v>34.79</v>
      </c>
      <c r="N216" s="27">
        <v>29.61</v>
      </c>
      <c r="O216" s="27">
        <v>0.0</v>
      </c>
      <c r="P216" s="27">
        <v>0.05</v>
      </c>
      <c r="Q216" s="27">
        <v>0.04</v>
      </c>
      <c r="R216" s="27">
        <v>0.0</v>
      </c>
      <c r="S216" s="27">
        <v>0.0</v>
      </c>
      <c r="T216" s="27">
        <v>0.0</v>
      </c>
      <c r="U216" s="27">
        <v>92.49</v>
      </c>
      <c r="V216" s="27">
        <v>12.77</v>
      </c>
      <c r="W216" s="27">
        <v>3.5</v>
      </c>
      <c r="X216" s="27">
        <v>4.39</v>
      </c>
      <c r="Y216" s="27">
        <v>4.86</v>
      </c>
      <c r="Z216" s="27">
        <v>0.0</v>
      </c>
      <c r="AA216" s="27">
        <v>2.33</v>
      </c>
      <c r="AB216" s="27">
        <v>1.17</v>
      </c>
      <c r="AC216" s="27">
        <v>0.74</v>
      </c>
      <c r="AD216" s="27">
        <v>0.4</v>
      </c>
      <c r="AE216" s="27">
        <v>0.0</v>
      </c>
      <c r="AF216" s="27">
        <v>15.1</v>
      </c>
      <c r="AG216" s="27"/>
      <c r="AH216" s="27"/>
      <c r="AI216" s="27"/>
      <c r="AJ216" s="27"/>
    </row>
    <row r="217" ht="25.5" customHeight="1">
      <c r="A217" s="23">
        <v>214.0</v>
      </c>
      <c r="B217" s="24">
        <v>46204.0</v>
      </c>
      <c r="C217" s="26" t="s">
        <v>2</v>
      </c>
      <c r="D217" s="26" t="s">
        <v>798</v>
      </c>
      <c r="E217" s="23" t="s">
        <v>799</v>
      </c>
      <c r="F217" s="23" t="s">
        <v>800</v>
      </c>
      <c r="G217" s="26"/>
      <c r="H217" s="26" t="s">
        <v>70</v>
      </c>
      <c r="I217" s="23" t="s">
        <v>107</v>
      </c>
      <c r="J217" s="23" t="s">
        <v>74</v>
      </c>
      <c r="K217" s="27">
        <v>100.72</v>
      </c>
      <c r="L217" s="27">
        <v>32.41</v>
      </c>
      <c r="M217" s="27">
        <v>41.93</v>
      </c>
      <c r="N217" s="27">
        <v>26.37</v>
      </c>
      <c r="O217" s="27">
        <v>0.0</v>
      </c>
      <c r="P217" s="27">
        <v>0.0</v>
      </c>
      <c r="Q217" s="27">
        <v>0.0</v>
      </c>
      <c r="R217" s="27">
        <v>0.0</v>
      </c>
      <c r="S217" s="27">
        <v>0.0</v>
      </c>
      <c r="T217" s="27">
        <v>0.0</v>
      </c>
      <c r="U217" s="27">
        <v>100.72</v>
      </c>
      <c r="V217" s="27">
        <v>6.17</v>
      </c>
      <c r="W217" s="27">
        <v>0.59</v>
      </c>
      <c r="X217" s="27">
        <v>2.3</v>
      </c>
      <c r="Y217" s="27">
        <v>3.27</v>
      </c>
      <c r="Z217" s="27">
        <v>0.0</v>
      </c>
      <c r="AA217" s="27">
        <v>6.15</v>
      </c>
      <c r="AB217" s="27">
        <v>2.82</v>
      </c>
      <c r="AC217" s="27">
        <v>2.24</v>
      </c>
      <c r="AD217" s="27">
        <v>1.08</v>
      </c>
      <c r="AE217" s="27">
        <v>0.0</v>
      </c>
      <c r="AF217" s="27">
        <v>12.32</v>
      </c>
      <c r="AG217" s="27"/>
      <c r="AH217" s="27"/>
      <c r="AI217" s="27"/>
      <c r="AJ217" s="27"/>
    </row>
    <row r="218" ht="25.5" customHeight="1">
      <c r="A218" s="23">
        <v>215.0</v>
      </c>
      <c r="B218" s="24">
        <v>46204.0</v>
      </c>
      <c r="C218" s="26" t="s">
        <v>2</v>
      </c>
      <c r="D218" s="26" t="s">
        <v>75</v>
      </c>
      <c r="E218" s="23" t="s">
        <v>78</v>
      </c>
      <c r="F218" s="23" t="s">
        <v>801</v>
      </c>
      <c r="G218" s="26"/>
      <c r="H218" s="26" t="s">
        <v>70</v>
      </c>
      <c r="I218" s="23" t="s">
        <v>72</v>
      </c>
      <c r="J218" s="23" t="s">
        <v>74</v>
      </c>
      <c r="K218" s="27">
        <v>1001.46</v>
      </c>
      <c r="L218" s="27">
        <v>194.04</v>
      </c>
      <c r="M218" s="27">
        <v>340.46</v>
      </c>
      <c r="N218" s="27">
        <v>466.88</v>
      </c>
      <c r="O218" s="27">
        <v>0.06</v>
      </c>
      <c r="P218" s="27">
        <v>0.0</v>
      </c>
      <c r="Q218" s="27">
        <v>0.0</v>
      </c>
      <c r="R218" s="27">
        <v>0.0</v>
      </c>
      <c r="S218" s="27">
        <v>0.0</v>
      </c>
      <c r="T218" s="27">
        <v>0.0</v>
      </c>
      <c r="U218" s="27">
        <v>1001.46</v>
      </c>
      <c r="V218" s="27">
        <v>282.76</v>
      </c>
      <c r="W218" s="27">
        <v>26.72</v>
      </c>
      <c r="X218" s="27">
        <v>56.22</v>
      </c>
      <c r="Y218" s="27">
        <v>199.82</v>
      </c>
      <c r="Z218" s="27">
        <v>0.0</v>
      </c>
      <c r="AA218" s="27">
        <v>1.73</v>
      </c>
      <c r="AB218" s="27">
        <v>0.67</v>
      </c>
      <c r="AC218" s="27">
        <v>0.81</v>
      </c>
      <c r="AD218" s="27">
        <v>0.23</v>
      </c>
      <c r="AE218" s="27">
        <v>0.02</v>
      </c>
      <c r="AF218" s="27">
        <v>284.49</v>
      </c>
      <c r="AG218" s="27"/>
      <c r="AH218" s="27"/>
      <c r="AI218" s="27"/>
      <c r="AJ218" s="27"/>
    </row>
    <row r="219" ht="25.5" customHeight="1">
      <c r="A219" s="23">
        <v>216.0</v>
      </c>
      <c r="B219" s="24">
        <v>46204.0</v>
      </c>
      <c r="C219" s="26" t="s">
        <v>2</v>
      </c>
      <c r="D219" s="26" t="s">
        <v>159</v>
      </c>
      <c r="E219" s="23" t="s">
        <v>198</v>
      </c>
      <c r="F219" s="23" t="s">
        <v>802</v>
      </c>
      <c r="G219" s="26"/>
      <c r="H219" s="26" t="s">
        <v>70</v>
      </c>
      <c r="I219" s="23" t="s">
        <v>72</v>
      </c>
      <c r="J219" s="23" t="s">
        <v>74</v>
      </c>
      <c r="K219" s="27">
        <v>2108.14</v>
      </c>
      <c r="L219" s="27">
        <v>500.79</v>
      </c>
      <c r="M219" s="27">
        <v>770.26</v>
      </c>
      <c r="N219" s="27">
        <v>577.91</v>
      </c>
      <c r="O219" s="27">
        <v>259.17</v>
      </c>
      <c r="P219" s="27">
        <v>0.81</v>
      </c>
      <c r="Q219" s="27">
        <v>0.3</v>
      </c>
      <c r="R219" s="27">
        <v>0.26</v>
      </c>
      <c r="S219" s="27">
        <v>0.25</v>
      </c>
      <c r="T219" s="27">
        <v>0.0</v>
      </c>
      <c r="U219" s="27">
        <v>2108.95</v>
      </c>
      <c r="V219" s="27">
        <v>70.64</v>
      </c>
      <c r="W219" s="27">
        <v>15.42</v>
      </c>
      <c r="X219" s="27">
        <v>24.35</v>
      </c>
      <c r="Y219" s="27">
        <v>21.79</v>
      </c>
      <c r="Z219" s="27">
        <v>9.07</v>
      </c>
      <c r="AA219" s="27">
        <v>65.28</v>
      </c>
      <c r="AB219" s="27">
        <v>20.15</v>
      </c>
      <c r="AC219" s="27">
        <v>21.0</v>
      </c>
      <c r="AD219" s="27">
        <v>16.26</v>
      </c>
      <c r="AE219" s="27">
        <v>7.86</v>
      </c>
      <c r="AF219" s="27">
        <v>135.92</v>
      </c>
      <c r="AG219" s="27"/>
      <c r="AH219" s="27"/>
      <c r="AI219" s="27"/>
      <c r="AJ219" s="27"/>
    </row>
    <row r="220" ht="25.5" customHeight="1">
      <c r="A220" s="23">
        <v>217.0</v>
      </c>
      <c r="B220" s="24">
        <v>46204.0</v>
      </c>
      <c r="C220" s="26" t="s">
        <v>2</v>
      </c>
      <c r="D220" s="26" t="s">
        <v>148</v>
      </c>
      <c r="E220" s="23" t="s">
        <v>151</v>
      </c>
      <c r="F220" s="23" t="s">
        <v>803</v>
      </c>
      <c r="G220" s="26"/>
      <c r="H220" s="26" t="s">
        <v>70</v>
      </c>
      <c r="I220" s="23" t="s">
        <v>107</v>
      </c>
      <c r="J220" s="23" t="s">
        <v>74</v>
      </c>
      <c r="K220" s="27">
        <v>1.0</v>
      </c>
      <c r="L220" s="27">
        <v>0.0</v>
      </c>
      <c r="M220" s="27">
        <v>1.0</v>
      </c>
      <c r="N220" s="27">
        <v>0.0</v>
      </c>
      <c r="O220" s="27">
        <v>0.0</v>
      </c>
      <c r="P220" s="27">
        <v>0.0</v>
      </c>
      <c r="Q220" s="27">
        <v>0.0</v>
      </c>
      <c r="R220" s="27">
        <v>0.0</v>
      </c>
      <c r="S220" s="27">
        <v>0.0</v>
      </c>
      <c r="T220" s="27">
        <v>0.0</v>
      </c>
      <c r="U220" s="27">
        <v>1.0</v>
      </c>
      <c r="V220" s="27">
        <v>0.0</v>
      </c>
      <c r="W220" s="27">
        <v>0.0</v>
      </c>
      <c r="X220" s="27">
        <v>0.0</v>
      </c>
      <c r="Y220" s="27">
        <v>0.0</v>
      </c>
      <c r="Z220" s="27">
        <v>0.0</v>
      </c>
      <c r="AA220" s="27">
        <v>0.0</v>
      </c>
      <c r="AB220" s="27">
        <v>0.0</v>
      </c>
      <c r="AC220" s="27">
        <v>0.0</v>
      </c>
      <c r="AD220" s="27">
        <v>0.0</v>
      </c>
      <c r="AE220" s="27">
        <v>0.0</v>
      </c>
      <c r="AF220" s="27">
        <v>0.0</v>
      </c>
      <c r="AG220" s="27"/>
      <c r="AH220" s="27"/>
      <c r="AI220" s="27"/>
      <c r="AJ220" s="27"/>
    </row>
    <row r="221" ht="25.5" customHeight="1">
      <c r="A221" s="23">
        <v>218.0</v>
      </c>
      <c r="B221" s="24">
        <v>46204.0</v>
      </c>
      <c r="C221" s="26" t="s">
        <v>2</v>
      </c>
      <c r="D221" s="26" t="s">
        <v>804</v>
      </c>
      <c r="E221" s="23" t="s">
        <v>805</v>
      </c>
      <c r="F221" s="23" t="s">
        <v>806</v>
      </c>
      <c r="G221" s="26"/>
      <c r="H221" s="26" t="s">
        <v>70</v>
      </c>
      <c r="I221" s="23" t="s">
        <v>107</v>
      </c>
      <c r="J221" s="23" t="s">
        <v>74</v>
      </c>
      <c r="K221" s="27">
        <v>2362.84</v>
      </c>
      <c r="L221" s="27">
        <v>659.93</v>
      </c>
      <c r="M221" s="27">
        <v>951.59</v>
      </c>
      <c r="N221" s="27">
        <v>737.34</v>
      </c>
      <c r="O221" s="27">
        <v>13.97</v>
      </c>
      <c r="P221" s="27">
        <v>0.0</v>
      </c>
      <c r="Q221" s="27">
        <v>0.0</v>
      </c>
      <c r="R221" s="27">
        <v>0.0</v>
      </c>
      <c r="S221" s="27">
        <v>0.0</v>
      </c>
      <c r="T221" s="27">
        <v>0.0</v>
      </c>
      <c r="U221" s="27">
        <v>2362.84</v>
      </c>
      <c r="V221" s="27">
        <v>168.29</v>
      </c>
      <c r="W221" s="27">
        <v>45.85</v>
      </c>
      <c r="X221" s="27">
        <v>57.04</v>
      </c>
      <c r="Y221" s="27">
        <v>63.23</v>
      </c>
      <c r="Z221" s="27">
        <v>2.15</v>
      </c>
      <c r="AA221" s="27">
        <v>20.77</v>
      </c>
      <c r="AB221" s="27">
        <v>10.59</v>
      </c>
      <c r="AC221" s="27">
        <v>7.49</v>
      </c>
      <c r="AD221" s="27">
        <v>2.68</v>
      </c>
      <c r="AE221" s="27">
        <v>0.0</v>
      </c>
      <c r="AF221" s="27">
        <v>189.06</v>
      </c>
      <c r="AG221" s="27"/>
      <c r="AH221" s="27"/>
      <c r="AI221" s="27"/>
      <c r="AJ221" s="27"/>
    </row>
    <row r="222" ht="25.5" customHeight="1">
      <c r="A222" s="23">
        <v>219.0</v>
      </c>
      <c r="B222" s="24">
        <v>46204.0</v>
      </c>
      <c r="C222" s="26" t="s">
        <v>2</v>
      </c>
      <c r="D222" s="26" t="s">
        <v>522</v>
      </c>
      <c r="E222" s="23" t="s">
        <v>523</v>
      </c>
      <c r="F222" s="23" t="s">
        <v>807</v>
      </c>
      <c r="G222" s="26"/>
      <c r="H222" s="26" t="s">
        <v>70</v>
      </c>
      <c r="I222" s="23" t="s">
        <v>107</v>
      </c>
      <c r="J222" s="23" t="s">
        <v>74</v>
      </c>
      <c r="K222" s="27">
        <v>889.33</v>
      </c>
      <c r="L222" s="27">
        <v>372.9</v>
      </c>
      <c r="M222" s="27">
        <v>385.53</v>
      </c>
      <c r="N222" s="27">
        <v>130.9</v>
      </c>
      <c r="O222" s="27">
        <v>0.0</v>
      </c>
      <c r="P222" s="27">
        <v>461.89</v>
      </c>
      <c r="Q222" s="27">
        <v>0.18</v>
      </c>
      <c r="R222" s="27">
        <v>21.69</v>
      </c>
      <c r="S222" s="27">
        <v>440.0</v>
      </c>
      <c r="T222" s="27">
        <v>0.0</v>
      </c>
      <c r="U222" s="27">
        <v>1351.22</v>
      </c>
      <c r="V222" s="27">
        <v>142.02</v>
      </c>
      <c r="W222" s="27">
        <v>27.88</v>
      </c>
      <c r="X222" s="27">
        <v>37.84</v>
      </c>
      <c r="Y222" s="27">
        <v>76.29</v>
      </c>
      <c r="Z222" s="27">
        <v>0.0</v>
      </c>
      <c r="AA222" s="27">
        <v>26.82</v>
      </c>
      <c r="AB222" s="27">
        <v>9.75</v>
      </c>
      <c r="AC222" s="27">
        <v>11.18</v>
      </c>
      <c r="AD222" s="27">
        <v>5.89</v>
      </c>
      <c r="AE222" s="27">
        <v>0.0</v>
      </c>
      <c r="AF222" s="27">
        <v>168.84</v>
      </c>
      <c r="AG222" s="27"/>
      <c r="AH222" s="27"/>
      <c r="AI222" s="27"/>
      <c r="AJ222" s="27"/>
    </row>
    <row r="223" ht="25.5" customHeight="1">
      <c r="A223" s="23">
        <v>220.0</v>
      </c>
      <c r="B223" s="24">
        <v>46204.0</v>
      </c>
      <c r="C223" s="26" t="s">
        <v>2</v>
      </c>
      <c r="D223" s="26" t="s">
        <v>468</v>
      </c>
      <c r="E223" s="23" t="s">
        <v>469</v>
      </c>
      <c r="F223" s="23" t="s">
        <v>808</v>
      </c>
      <c r="G223" s="26"/>
      <c r="H223" s="26" t="s">
        <v>70</v>
      </c>
      <c r="I223" s="23" t="s">
        <v>72</v>
      </c>
      <c r="J223" s="23" t="s">
        <v>74</v>
      </c>
      <c r="K223" s="27">
        <v>872.14</v>
      </c>
      <c r="L223" s="27">
        <v>312.8</v>
      </c>
      <c r="M223" s="27">
        <v>323.53</v>
      </c>
      <c r="N223" s="27">
        <v>235.8</v>
      </c>
      <c r="O223" s="27">
        <v>0.0</v>
      </c>
      <c r="P223" s="27">
        <v>13.72</v>
      </c>
      <c r="Q223" s="27">
        <v>0.01</v>
      </c>
      <c r="R223" s="27">
        <v>0.81</v>
      </c>
      <c r="S223" s="27">
        <v>12.89</v>
      </c>
      <c r="T223" s="27">
        <v>0.0</v>
      </c>
      <c r="U223" s="27">
        <v>885.86</v>
      </c>
      <c r="V223" s="27">
        <v>347.5</v>
      </c>
      <c r="W223" s="27">
        <v>112.54</v>
      </c>
      <c r="X223" s="27">
        <v>109.41</v>
      </c>
      <c r="Y223" s="27">
        <v>125.54</v>
      </c>
      <c r="Z223" s="27">
        <v>0.0</v>
      </c>
      <c r="AA223" s="27">
        <v>4.43</v>
      </c>
      <c r="AB223" s="27">
        <v>2.23</v>
      </c>
      <c r="AC223" s="27">
        <v>1.67</v>
      </c>
      <c r="AD223" s="27">
        <v>0.53</v>
      </c>
      <c r="AE223" s="27">
        <v>0.0</v>
      </c>
      <c r="AF223" s="27">
        <v>351.93</v>
      </c>
      <c r="AG223" s="27"/>
      <c r="AH223" s="27"/>
      <c r="AI223" s="27"/>
      <c r="AJ223" s="27"/>
    </row>
    <row r="224" ht="25.5" customHeight="1">
      <c r="A224" s="23">
        <v>221.0</v>
      </c>
      <c r="B224" s="24">
        <v>46204.0</v>
      </c>
      <c r="C224" s="26" t="s">
        <v>2</v>
      </c>
      <c r="D224" s="26" t="s">
        <v>146</v>
      </c>
      <c r="E224" s="23" t="s">
        <v>809</v>
      </c>
      <c r="F224" s="23" t="s">
        <v>810</v>
      </c>
      <c r="G224" s="26"/>
      <c r="H224" s="26" t="s">
        <v>70</v>
      </c>
      <c r="I224" s="23" t="s">
        <v>72</v>
      </c>
      <c r="J224" s="23" t="s">
        <v>74</v>
      </c>
      <c r="K224" s="27">
        <v>763.44</v>
      </c>
      <c r="L224" s="27">
        <v>224.77</v>
      </c>
      <c r="M224" s="27">
        <v>305.62</v>
      </c>
      <c r="N224" s="27">
        <v>233.05</v>
      </c>
      <c r="O224" s="27">
        <v>0.0</v>
      </c>
      <c r="P224" s="27">
        <v>0.0</v>
      </c>
      <c r="Q224" s="27">
        <v>0.0</v>
      </c>
      <c r="R224" s="27">
        <v>0.0</v>
      </c>
      <c r="S224" s="27">
        <v>0.0</v>
      </c>
      <c r="T224" s="27">
        <v>0.0</v>
      </c>
      <c r="U224" s="27">
        <v>763.44</v>
      </c>
      <c r="V224" s="27">
        <v>64.53</v>
      </c>
      <c r="W224" s="27">
        <v>16.72</v>
      </c>
      <c r="X224" s="27">
        <v>20.31</v>
      </c>
      <c r="Y224" s="27">
        <v>27.49</v>
      </c>
      <c r="Z224" s="27">
        <v>0.0</v>
      </c>
      <c r="AA224" s="27">
        <v>8.26</v>
      </c>
      <c r="AB224" s="27">
        <v>3.19</v>
      </c>
      <c r="AC224" s="27">
        <v>3.68</v>
      </c>
      <c r="AD224" s="27">
        <v>1.38</v>
      </c>
      <c r="AE224" s="27">
        <v>0.0</v>
      </c>
      <c r="AF224" s="27">
        <v>72.79</v>
      </c>
      <c r="AG224" s="27"/>
      <c r="AH224" s="27"/>
      <c r="AI224" s="27"/>
      <c r="AJ224" s="27"/>
    </row>
    <row r="225" ht="25.5" customHeight="1">
      <c r="A225" s="23">
        <v>222.0</v>
      </c>
      <c r="B225" s="24">
        <v>46204.0</v>
      </c>
      <c r="C225" s="26" t="s">
        <v>2</v>
      </c>
      <c r="D225" s="26" t="s">
        <v>811</v>
      </c>
      <c r="E225" s="23" t="s">
        <v>812</v>
      </c>
      <c r="F225" s="23" t="s">
        <v>813</v>
      </c>
      <c r="G225" s="26"/>
      <c r="H225" s="26" t="s">
        <v>70</v>
      </c>
      <c r="I225" s="23" t="s">
        <v>107</v>
      </c>
      <c r="J225" s="23" t="s">
        <v>74</v>
      </c>
      <c r="K225" s="27">
        <v>1596.44</v>
      </c>
      <c r="L225" s="27">
        <v>320.75</v>
      </c>
      <c r="M225" s="27">
        <v>818.02</v>
      </c>
      <c r="N225" s="27">
        <v>457.66</v>
      </c>
      <c r="O225" s="27">
        <v>0.0</v>
      </c>
      <c r="P225" s="27">
        <v>0.0</v>
      </c>
      <c r="Q225" s="27">
        <v>0.0</v>
      </c>
      <c r="R225" s="27">
        <v>0.0</v>
      </c>
      <c r="S225" s="27">
        <v>0.0</v>
      </c>
      <c r="T225" s="27">
        <v>0.0</v>
      </c>
      <c r="U225" s="27">
        <v>1596.44</v>
      </c>
      <c r="V225" s="27">
        <v>394.74</v>
      </c>
      <c r="W225" s="27">
        <v>9.86</v>
      </c>
      <c r="X225" s="27">
        <v>262.41</v>
      </c>
      <c r="Y225" s="27">
        <v>122.46</v>
      </c>
      <c r="Z225" s="27">
        <v>0.0</v>
      </c>
      <c r="AA225" s="27">
        <v>25.81</v>
      </c>
      <c r="AB225" s="27">
        <v>12.03</v>
      </c>
      <c r="AC225" s="27">
        <v>8.53</v>
      </c>
      <c r="AD225" s="27">
        <v>5.24</v>
      </c>
      <c r="AE225" s="27">
        <v>0.0</v>
      </c>
      <c r="AF225" s="27">
        <v>420.55</v>
      </c>
      <c r="AG225" s="27"/>
      <c r="AH225" s="27"/>
      <c r="AI225" s="27"/>
      <c r="AJ225" s="27"/>
    </row>
    <row r="226" ht="25.5" customHeight="1">
      <c r="A226" s="23">
        <v>223.0</v>
      </c>
      <c r="B226" s="24">
        <v>46204.0</v>
      </c>
      <c r="C226" s="26" t="s">
        <v>2</v>
      </c>
      <c r="D226" s="26" t="s">
        <v>91</v>
      </c>
      <c r="E226" s="23" t="s">
        <v>93</v>
      </c>
      <c r="F226" s="23" t="s">
        <v>814</v>
      </c>
      <c r="G226" s="26"/>
      <c r="H226" s="26" t="s">
        <v>70</v>
      </c>
      <c r="I226" s="23" t="s">
        <v>107</v>
      </c>
      <c r="J226" s="23" t="s">
        <v>74</v>
      </c>
      <c r="K226" s="27">
        <v>267.69</v>
      </c>
      <c r="L226" s="27">
        <v>1.97</v>
      </c>
      <c r="M226" s="27">
        <v>81.47</v>
      </c>
      <c r="N226" s="27">
        <v>184.24</v>
      </c>
      <c r="O226" s="27">
        <v>0.0</v>
      </c>
      <c r="P226" s="27">
        <v>0.03</v>
      </c>
      <c r="Q226" s="27">
        <v>0.01</v>
      </c>
      <c r="R226" s="27">
        <v>0.0</v>
      </c>
      <c r="S226" s="27">
        <v>0.0</v>
      </c>
      <c r="T226" s="27">
        <v>0.0</v>
      </c>
      <c r="U226" s="27">
        <v>267.72</v>
      </c>
      <c r="V226" s="27">
        <v>209.24</v>
      </c>
      <c r="W226" s="27">
        <v>1.56</v>
      </c>
      <c r="X226" s="27">
        <v>63.74</v>
      </c>
      <c r="Y226" s="27">
        <v>143.93</v>
      </c>
      <c r="Z226" s="27">
        <v>0.0</v>
      </c>
      <c r="AA226" s="27">
        <v>5.56</v>
      </c>
      <c r="AB226" s="27">
        <v>2.08</v>
      </c>
      <c r="AC226" s="27">
        <v>1.8</v>
      </c>
      <c r="AD226" s="27">
        <v>1.67</v>
      </c>
      <c r="AE226" s="27">
        <v>0.0</v>
      </c>
      <c r="AF226" s="27">
        <v>214.8</v>
      </c>
      <c r="AG226" s="27"/>
      <c r="AH226" s="27"/>
      <c r="AI226" s="27"/>
      <c r="AJ226" s="27"/>
    </row>
    <row r="227" ht="25.5" customHeight="1">
      <c r="A227" s="23">
        <v>224.0</v>
      </c>
      <c r="B227" s="24">
        <v>46204.0</v>
      </c>
      <c r="C227" s="26" t="s">
        <v>2</v>
      </c>
      <c r="D227" s="26" t="s">
        <v>815</v>
      </c>
      <c r="E227" s="23" t="s">
        <v>816</v>
      </c>
      <c r="F227" s="23" t="s">
        <v>817</v>
      </c>
      <c r="G227" s="26"/>
      <c r="H227" s="26" t="s">
        <v>70</v>
      </c>
      <c r="I227" s="23" t="s">
        <v>72</v>
      </c>
      <c r="J227" s="23" t="s">
        <v>74</v>
      </c>
      <c r="K227" s="27">
        <v>1.01</v>
      </c>
      <c r="L227" s="27">
        <v>0.0</v>
      </c>
      <c r="M227" s="27">
        <v>1.0</v>
      </c>
      <c r="N227" s="27">
        <v>0.0</v>
      </c>
      <c r="O227" s="27">
        <v>0.0</v>
      </c>
      <c r="P227" s="27">
        <v>0.0</v>
      </c>
      <c r="Q227" s="27">
        <v>0.0</v>
      </c>
      <c r="R227" s="27">
        <v>0.0</v>
      </c>
      <c r="S227" s="27">
        <v>0.0</v>
      </c>
      <c r="T227" s="27">
        <v>0.0</v>
      </c>
      <c r="U227" s="27">
        <v>1.01</v>
      </c>
      <c r="V227" s="27">
        <v>0.0</v>
      </c>
      <c r="W227" s="27">
        <v>0.0</v>
      </c>
      <c r="X227" s="27">
        <v>0.0</v>
      </c>
      <c r="Y227" s="27">
        <v>0.0</v>
      </c>
      <c r="Z227" s="27">
        <v>0.0</v>
      </c>
      <c r="AA227" s="27">
        <v>0.0</v>
      </c>
      <c r="AB227" s="27">
        <v>0.0</v>
      </c>
      <c r="AC227" s="27">
        <v>0.0</v>
      </c>
      <c r="AD227" s="27">
        <v>0.0</v>
      </c>
      <c r="AE227" s="27">
        <v>0.0</v>
      </c>
      <c r="AF227" s="27">
        <v>0.0</v>
      </c>
      <c r="AG227" s="27"/>
      <c r="AH227" s="27"/>
      <c r="AI227" s="27"/>
      <c r="AJ227" s="27"/>
    </row>
    <row r="228" ht="25.5" customHeight="1">
      <c r="A228" s="23">
        <v>225.0</v>
      </c>
      <c r="B228" s="24">
        <v>46204.0</v>
      </c>
      <c r="C228" s="26" t="s">
        <v>2</v>
      </c>
      <c r="D228" s="26" t="s">
        <v>818</v>
      </c>
      <c r="E228" s="23" t="s">
        <v>819</v>
      </c>
      <c r="F228" s="23" t="s">
        <v>820</v>
      </c>
      <c r="G228" s="26"/>
      <c r="H228" s="26" t="s">
        <v>70</v>
      </c>
      <c r="I228" s="23" t="s">
        <v>72</v>
      </c>
      <c r="J228" s="23" t="s">
        <v>74</v>
      </c>
      <c r="K228" s="27">
        <v>1954.56</v>
      </c>
      <c r="L228" s="27">
        <v>534.72</v>
      </c>
      <c r="M228" s="27">
        <v>742.44</v>
      </c>
      <c r="N228" s="27">
        <v>677.39</v>
      </c>
      <c r="O228" s="27">
        <v>0.0</v>
      </c>
      <c r="P228" s="27">
        <v>2.68</v>
      </c>
      <c r="Q228" s="27">
        <v>0.0</v>
      </c>
      <c r="R228" s="27">
        <v>0.03</v>
      </c>
      <c r="S228" s="27">
        <v>2.65</v>
      </c>
      <c r="T228" s="27">
        <v>0.0</v>
      </c>
      <c r="U228" s="27">
        <v>1957.24</v>
      </c>
      <c r="V228" s="27">
        <v>154.91</v>
      </c>
      <c r="W228" s="27">
        <v>27.27</v>
      </c>
      <c r="X228" s="27">
        <v>60.19</v>
      </c>
      <c r="Y228" s="27">
        <v>67.44</v>
      </c>
      <c r="Z228" s="27">
        <v>0.0</v>
      </c>
      <c r="AA228" s="27">
        <v>57.35</v>
      </c>
      <c r="AB228" s="27">
        <v>21.64</v>
      </c>
      <c r="AC228" s="27">
        <v>19.07</v>
      </c>
      <c r="AD228" s="27">
        <v>16.64</v>
      </c>
      <c r="AE228" s="27">
        <v>0.0</v>
      </c>
      <c r="AF228" s="27">
        <v>212.26</v>
      </c>
      <c r="AG228" s="27"/>
      <c r="AH228" s="27"/>
      <c r="AI228" s="27"/>
      <c r="AJ228" s="27"/>
    </row>
    <row r="229" ht="25.5" customHeight="1">
      <c r="A229" s="23">
        <v>226.0</v>
      </c>
      <c r="B229" s="24">
        <v>46204.0</v>
      </c>
      <c r="C229" s="26" t="s">
        <v>2</v>
      </c>
      <c r="D229" s="26" t="s">
        <v>821</v>
      </c>
      <c r="E229" s="23" t="s">
        <v>822</v>
      </c>
      <c r="F229" s="23" t="s">
        <v>823</v>
      </c>
      <c r="G229" s="26"/>
      <c r="H229" s="26" t="s">
        <v>70</v>
      </c>
      <c r="I229" s="23" t="s">
        <v>107</v>
      </c>
      <c r="J229" s="23" t="s">
        <v>74</v>
      </c>
      <c r="K229" s="27">
        <v>1476.86</v>
      </c>
      <c r="L229" s="27">
        <v>485.32</v>
      </c>
      <c r="M229" s="27">
        <v>580.96</v>
      </c>
      <c r="N229" s="27">
        <v>410.57</v>
      </c>
      <c r="O229" s="27">
        <v>0.0</v>
      </c>
      <c r="P229" s="27">
        <v>0.0</v>
      </c>
      <c r="Q229" s="27">
        <v>0.0</v>
      </c>
      <c r="R229" s="27">
        <v>0.0</v>
      </c>
      <c r="S229" s="27">
        <v>0.0</v>
      </c>
      <c r="T229" s="27">
        <v>0.0</v>
      </c>
      <c r="U229" s="27">
        <v>1476.86</v>
      </c>
      <c r="V229" s="27">
        <v>72.72</v>
      </c>
      <c r="W229" s="27">
        <v>19.4</v>
      </c>
      <c r="X229" s="27">
        <v>23.14</v>
      </c>
      <c r="Y229" s="27">
        <v>30.17</v>
      </c>
      <c r="Z229" s="27">
        <v>0.0</v>
      </c>
      <c r="AA229" s="27">
        <v>16.18</v>
      </c>
      <c r="AB229" s="27">
        <v>7.53</v>
      </c>
      <c r="AC229" s="27">
        <v>6.32</v>
      </c>
      <c r="AD229" s="27">
        <v>2.33</v>
      </c>
      <c r="AE229" s="27">
        <v>0.0</v>
      </c>
      <c r="AF229" s="27">
        <v>88.9</v>
      </c>
      <c r="AG229" s="27"/>
      <c r="AH229" s="27"/>
      <c r="AI229" s="27"/>
      <c r="AJ229" s="27"/>
    </row>
    <row r="230" ht="25.5" customHeight="1">
      <c r="A230" s="23">
        <v>227.0</v>
      </c>
      <c r="B230" s="24">
        <v>46204.0</v>
      </c>
      <c r="C230" s="26" t="s">
        <v>2</v>
      </c>
      <c r="D230" s="26" t="s">
        <v>529</v>
      </c>
      <c r="E230" s="23" t="s">
        <v>530</v>
      </c>
      <c r="F230" s="23" t="s">
        <v>824</v>
      </c>
      <c r="G230" s="26"/>
      <c r="H230" s="26" t="s">
        <v>70</v>
      </c>
      <c r="I230" s="23" t="s">
        <v>107</v>
      </c>
      <c r="J230" s="23" t="s">
        <v>74</v>
      </c>
      <c r="K230" s="27">
        <v>3832.29</v>
      </c>
      <c r="L230" s="27">
        <v>1163.45</v>
      </c>
      <c r="M230" s="27">
        <v>1312.02</v>
      </c>
      <c r="N230" s="27">
        <v>952.72</v>
      </c>
      <c r="O230" s="27">
        <v>404.08</v>
      </c>
      <c r="P230" s="27">
        <v>12.68</v>
      </c>
      <c r="Q230" s="27">
        <v>0.01</v>
      </c>
      <c r="R230" s="27">
        <v>1.79</v>
      </c>
      <c r="S230" s="27">
        <v>10.87</v>
      </c>
      <c r="T230" s="27">
        <v>0.0</v>
      </c>
      <c r="U230" s="27">
        <v>3844.97</v>
      </c>
      <c r="V230" s="27">
        <v>551.81</v>
      </c>
      <c r="W230" s="27">
        <v>109.43</v>
      </c>
      <c r="X230" s="27">
        <v>185.21</v>
      </c>
      <c r="Y230" s="27">
        <v>164.36</v>
      </c>
      <c r="Z230" s="27">
        <v>92.78</v>
      </c>
      <c r="AA230" s="27">
        <v>38.98</v>
      </c>
      <c r="AB230" s="27">
        <v>18.02</v>
      </c>
      <c r="AC230" s="27">
        <v>16.02</v>
      </c>
      <c r="AD230" s="27">
        <v>4.46</v>
      </c>
      <c r="AE230" s="27">
        <v>0.48</v>
      </c>
      <c r="AF230" s="27">
        <v>590.79</v>
      </c>
      <c r="AG230" s="27"/>
      <c r="AH230" s="27"/>
      <c r="AI230" s="27"/>
      <c r="AJ230" s="27"/>
    </row>
    <row r="231" ht="25.5" customHeight="1">
      <c r="A231" s="23">
        <v>228.0</v>
      </c>
      <c r="B231" s="24">
        <v>46204.0</v>
      </c>
      <c r="C231" s="26" t="s">
        <v>2</v>
      </c>
      <c r="D231" s="26" t="s">
        <v>545</v>
      </c>
      <c r="E231" s="23" t="s">
        <v>547</v>
      </c>
      <c r="F231" s="23" t="s">
        <v>825</v>
      </c>
      <c r="G231" s="26"/>
      <c r="H231" s="26" t="s">
        <v>70</v>
      </c>
      <c r="I231" s="23" t="s">
        <v>826</v>
      </c>
      <c r="J231" s="23" t="s">
        <v>74</v>
      </c>
      <c r="K231" s="27">
        <v>409.49</v>
      </c>
      <c r="L231" s="27">
        <v>118.38</v>
      </c>
      <c r="M231" s="27">
        <v>168.65</v>
      </c>
      <c r="N231" s="27">
        <v>122.45</v>
      </c>
      <c r="O231" s="27">
        <v>0.0</v>
      </c>
      <c r="P231" s="27">
        <v>0.0</v>
      </c>
      <c r="Q231" s="27">
        <v>0.0</v>
      </c>
      <c r="R231" s="27">
        <v>0.0</v>
      </c>
      <c r="S231" s="27">
        <v>0.0</v>
      </c>
      <c r="T231" s="27">
        <v>0.0</v>
      </c>
      <c r="U231" s="27">
        <v>409.49</v>
      </c>
      <c r="V231" s="27">
        <v>10.5</v>
      </c>
      <c r="W231" s="27">
        <v>2.93</v>
      </c>
      <c r="X231" s="27">
        <v>2.88</v>
      </c>
      <c r="Y231" s="27">
        <v>4.68</v>
      </c>
      <c r="Z231" s="27">
        <v>0.0</v>
      </c>
      <c r="AA231" s="27">
        <v>12.75</v>
      </c>
      <c r="AB231" s="27">
        <v>4.66</v>
      </c>
      <c r="AC231" s="27">
        <v>5.11</v>
      </c>
      <c r="AD231" s="27">
        <v>2.97</v>
      </c>
      <c r="AE231" s="27">
        <v>0.0</v>
      </c>
      <c r="AF231" s="27">
        <v>23.25</v>
      </c>
      <c r="AG231" s="27"/>
      <c r="AH231" s="27"/>
      <c r="AI231" s="27"/>
      <c r="AJ231" s="27"/>
    </row>
    <row r="232" ht="25.5" customHeight="1">
      <c r="A232" s="23">
        <v>229.0</v>
      </c>
      <c r="B232" s="24">
        <v>46204.0</v>
      </c>
      <c r="C232" s="26" t="s">
        <v>2</v>
      </c>
      <c r="D232" s="26" t="s">
        <v>534</v>
      </c>
      <c r="E232" s="23" t="s">
        <v>535</v>
      </c>
      <c r="F232" s="23" t="s">
        <v>827</v>
      </c>
      <c r="G232" s="26"/>
      <c r="H232" s="26" t="s">
        <v>70</v>
      </c>
      <c r="I232" s="23" t="s">
        <v>72</v>
      </c>
      <c r="J232" s="23" t="s">
        <v>74</v>
      </c>
      <c r="K232" s="27">
        <v>1177.56</v>
      </c>
      <c r="L232" s="27">
        <v>147.93</v>
      </c>
      <c r="M232" s="27">
        <v>386.68</v>
      </c>
      <c r="N232" s="27">
        <v>312.67</v>
      </c>
      <c r="O232" s="27">
        <v>330.27</v>
      </c>
      <c r="P232" s="27">
        <v>0.13</v>
      </c>
      <c r="Q232" s="27">
        <v>0.01</v>
      </c>
      <c r="R232" s="27">
        <v>0.05</v>
      </c>
      <c r="S232" s="27">
        <v>0.03</v>
      </c>
      <c r="T232" s="27">
        <v>0.03</v>
      </c>
      <c r="U232" s="27">
        <v>1177.69</v>
      </c>
      <c r="V232" s="27">
        <v>174.44</v>
      </c>
      <c r="W232" s="27">
        <v>20.53</v>
      </c>
      <c r="X232" s="27">
        <v>76.86</v>
      </c>
      <c r="Y232" s="27">
        <v>43.53</v>
      </c>
      <c r="Z232" s="27">
        <v>33.5</v>
      </c>
      <c r="AA232" s="27">
        <v>8.21</v>
      </c>
      <c r="AB232" s="27">
        <v>0.79</v>
      </c>
      <c r="AC232" s="27">
        <v>1.92</v>
      </c>
      <c r="AD232" s="27">
        <v>2.13</v>
      </c>
      <c r="AE232" s="27">
        <v>3.36</v>
      </c>
      <c r="AF232" s="27">
        <v>182.65</v>
      </c>
      <c r="AG232" s="27"/>
      <c r="AH232" s="27"/>
      <c r="AI232" s="27"/>
      <c r="AJ232" s="27"/>
    </row>
    <row r="233" ht="25.5" customHeight="1">
      <c r="A233" s="23">
        <v>230.0</v>
      </c>
      <c r="B233" s="24">
        <v>46204.0</v>
      </c>
      <c r="C233" s="26" t="s">
        <v>2</v>
      </c>
      <c r="D233" s="26" t="s">
        <v>143</v>
      </c>
      <c r="E233" s="23" t="s">
        <v>828</v>
      </c>
      <c r="F233" s="23" t="s">
        <v>829</v>
      </c>
      <c r="G233" s="26"/>
      <c r="H233" s="26" t="s">
        <v>70</v>
      </c>
      <c r="I233" s="23" t="s">
        <v>81</v>
      </c>
      <c r="J233" s="23" t="s">
        <v>74</v>
      </c>
      <c r="K233" s="27">
        <v>1333.44</v>
      </c>
      <c r="L233" s="27">
        <v>423.46</v>
      </c>
      <c r="M233" s="27">
        <v>505.17</v>
      </c>
      <c r="N233" s="27">
        <v>404.8</v>
      </c>
      <c r="O233" s="27">
        <v>0.0</v>
      </c>
      <c r="P233" s="27">
        <v>0.0</v>
      </c>
      <c r="Q233" s="27">
        <v>0.0</v>
      </c>
      <c r="R233" s="27">
        <v>0.0</v>
      </c>
      <c r="S233" s="27">
        <v>0.0</v>
      </c>
      <c r="T233" s="27">
        <v>0.0</v>
      </c>
      <c r="U233" s="27">
        <v>1333.44</v>
      </c>
      <c r="V233" s="27">
        <v>41.0</v>
      </c>
      <c r="W233" s="27">
        <v>9.82</v>
      </c>
      <c r="X233" s="27">
        <v>14.88</v>
      </c>
      <c r="Y233" s="27">
        <v>16.3</v>
      </c>
      <c r="Z233" s="27">
        <v>0.0</v>
      </c>
      <c r="AA233" s="27">
        <v>20.47</v>
      </c>
      <c r="AB233" s="27">
        <v>7.94</v>
      </c>
      <c r="AC233" s="27">
        <v>7.1</v>
      </c>
      <c r="AD233" s="27">
        <v>5.41</v>
      </c>
      <c r="AE233" s="27">
        <v>0.0</v>
      </c>
      <c r="AF233" s="27">
        <v>61.47</v>
      </c>
      <c r="AG233" s="27"/>
      <c r="AH233" s="27"/>
      <c r="AI233" s="27"/>
      <c r="AJ233" s="27"/>
    </row>
    <row r="234" ht="25.5" customHeight="1">
      <c r="A234" s="23">
        <v>231.0</v>
      </c>
      <c r="B234" s="24">
        <v>46204.0</v>
      </c>
      <c r="C234" s="26" t="s">
        <v>2</v>
      </c>
      <c r="D234" s="26" t="s">
        <v>830</v>
      </c>
      <c r="E234" s="23" t="s">
        <v>831</v>
      </c>
      <c r="F234" s="23" t="s">
        <v>832</v>
      </c>
      <c r="G234" s="26"/>
      <c r="H234" s="26" t="s">
        <v>70</v>
      </c>
      <c r="I234" s="23" t="s">
        <v>72</v>
      </c>
      <c r="J234" s="23" t="s">
        <v>74</v>
      </c>
      <c r="K234" s="27">
        <v>6704.65</v>
      </c>
      <c r="L234" s="27">
        <v>895.19</v>
      </c>
      <c r="M234" s="27">
        <v>2716.63</v>
      </c>
      <c r="N234" s="27">
        <v>1478.85</v>
      </c>
      <c r="O234" s="27">
        <v>1613.97</v>
      </c>
      <c r="P234" s="27">
        <v>0.0</v>
      </c>
      <c r="Q234" s="27">
        <v>0.0</v>
      </c>
      <c r="R234" s="27">
        <v>0.0</v>
      </c>
      <c r="S234" s="27">
        <v>0.0</v>
      </c>
      <c r="T234" s="27">
        <v>0.0</v>
      </c>
      <c r="U234" s="27">
        <v>6704.65</v>
      </c>
      <c r="V234" s="27">
        <v>807.61</v>
      </c>
      <c r="W234" s="27">
        <v>80.38</v>
      </c>
      <c r="X234" s="27">
        <v>322.29</v>
      </c>
      <c r="Y234" s="27">
        <v>165.71</v>
      </c>
      <c r="Z234" s="27">
        <v>239.21</v>
      </c>
      <c r="AA234" s="27">
        <v>7.97</v>
      </c>
      <c r="AB234" s="27">
        <v>1.15</v>
      </c>
      <c r="AC234" s="27">
        <v>1.97</v>
      </c>
      <c r="AD234" s="27">
        <v>1.59</v>
      </c>
      <c r="AE234" s="27">
        <v>3.24</v>
      </c>
      <c r="AF234" s="27">
        <v>815.58</v>
      </c>
      <c r="AG234" s="27"/>
      <c r="AH234" s="27"/>
      <c r="AI234" s="27"/>
      <c r="AJ234" s="27"/>
    </row>
    <row r="235" ht="25.5" customHeight="1">
      <c r="A235" s="23">
        <v>232.0</v>
      </c>
      <c r="B235" s="24">
        <v>46204.0</v>
      </c>
      <c r="C235" s="26" t="s">
        <v>2</v>
      </c>
      <c r="D235" s="26" t="s">
        <v>470</v>
      </c>
      <c r="E235" s="23" t="s">
        <v>471</v>
      </c>
      <c r="F235" s="23" t="s">
        <v>833</v>
      </c>
      <c r="G235" s="26"/>
      <c r="H235" s="26" t="s">
        <v>70</v>
      </c>
      <c r="I235" s="23" t="s">
        <v>72</v>
      </c>
      <c r="J235" s="23" t="s">
        <v>74</v>
      </c>
      <c r="K235" s="27">
        <v>1986.56</v>
      </c>
      <c r="L235" s="27">
        <v>251.59</v>
      </c>
      <c r="M235" s="27">
        <v>561.32</v>
      </c>
      <c r="N235" s="27">
        <v>553.65</v>
      </c>
      <c r="O235" s="27">
        <v>619.99</v>
      </c>
      <c r="P235" s="27">
        <v>30.58</v>
      </c>
      <c r="Q235" s="27">
        <v>2.01</v>
      </c>
      <c r="R235" s="27">
        <v>28.56</v>
      </c>
      <c r="S235" s="27">
        <v>0.0</v>
      </c>
      <c r="T235" s="27">
        <v>0.0</v>
      </c>
      <c r="U235" s="27">
        <v>2017.14</v>
      </c>
      <c r="V235" s="27">
        <v>263.88</v>
      </c>
      <c r="W235" s="27">
        <v>31.95</v>
      </c>
      <c r="X235" s="27">
        <v>96.45</v>
      </c>
      <c r="Y235" s="27">
        <v>52.83</v>
      </c>
      <c r="Z235" s="27">
        <v>82.64</v>
      </c>
      <c r="AA235" s="27">
        <v>11.6</v>
      </c>
      <c r="AB235" s="27">
        <v>0.95</v>
      </c>
      <c r="AC235" s="27">
        <v>0.25</v>
      </c>
      <c r="AD235" s="27">
        <v>1.92</v>
      </c>
      <c r="AE235" s="27">
        <v>8.46</v>
      </c>
      <c r="AF235" s="27">
        <v>275.48</v>
      </c>
      <c r="AG235" s="27"/>
      <c r="AH235" s="27"/>
      <c r="AI235" s="27"/>
      <c r="AJ235" s="27"/>
    </row>
    <row r="236" ht="25.5" customHeight="1">
      <c r="A236" s="23">
        <v>233.0</v>
      </c>
      <c r="B236" s="24">
        <v>46204.0</v>
      </c>
      <c r="C236" s="26" t="s">
        <v>2</v>
      </c>
      <c r="D236" s="26" t="s">
        <v>502</v>
      </c>
      <c r="E236" s="23" t="s">
        <v>506</v>
      </c>
      <c r="F236" s="23" t="s">
        <v>834</v>
      </c>
      <c r="G236" s="26"/>
      <c r="H236" s="26" t="s">
        <v>70</v>
      </c>
      <c r="I236" s="23" t="s">
        <v>72</v>
      </c>
      <c r="J236" s="23" t="s">
        <v>74</v>
      </c>
      <c r="K236" s="27">
        <v>322.2</v>
      </c>
      <c r="L236" s="27">
        <v>43.56</v>
      </c>
      <c r="M236" s="27">
        <v>97.73</v>
      </c>
      <c r="N236" s="27">
        <v>85.56</v>
      </c>
      <c r="O236" s="27">
        <v>95.33</v>
      </c>
      <c r="P236" s="27">
        <v>0.0</v>
      </c>
      <c r="Q236" s="27">
        <v>0.0</v>
      </c>
      <c r="R236" s="27">
        <v>0.0</v>
      </c>
      <c r="S236" s="27">
        <v>0.0</v>
      </c>
      <c r="T236" s="27">
        <v>0.0</v>
      </c>
      <c r="U236" s="27">
        <v>322.2</v>
      </c>
      <c r="V236" s="27">
        <v>35.55</v>
      </c>
      <c r="W236" s="27">
        <v>3.83</v>
      </c>
      <c r="X236" s="27">
        <v>13.79</v>
      </c>
      <c r="Y236" s="27">
        <v>6.24</v>
      </c>
      <c r="Z236" s="27">
        <v>11.67</v>
      </c>
      <c r="AA236" s="27">
        <v>7.19</v>
      </c>
      <c r="AB236" s="27">
        <v>0.86</v>
      </c>
      <c r="AC236" s="27">
        <v>1.13</v>
      </c>
      <c r="AD236" s="27">
        <v>2.64</v>
      </c>
      <c r="AE236" s="27">
        <v>2.54</v>
      </c>
      <c r="AF236" s="27">
        <v>42.74</v>
      </c>
      <c r="AG236" s="27"/>
      <c r="AH236" s="27"/>
      <c r="AI236" s="27"/>
      <c r="AJ236" s="27"/>
    </row>
    <row r="237" ht="25.5" customHeight="1">
      <c r="A237" s="23">
        <v>234.0</v>
      </c>
      <c r="B237" s="24">
        <v>46204.0</v>
      </c>
      <c r="C237" s="26" t="s">
        <v>2</v>
      </c>
      <c r="D237" s="26" t="s">
        <v>835</v>
      </c>
      <c r="E237" s="23" t="s">
        <v>836</v>
      </c>
      <c r="F237" s="23" t="s">
        <v>837</v>
      </c>
      <c r="G237" s="26"/>
      <c r="H237" s="26" t="s">
        <v>70</v>
      </c>
      <c r="I237" s="23" t="s">
        <v>72</v>
      </c>
      <c r="J237" s="23" t="s">
        <v>74</v>
      </c>
      <c r="K237" s="27">
        <v>1654.33</v>
      </c>
      <c r="L237" s="27">
        <v>217.57</v>
      </c>
      <c r="M237" s="27">
        <v>459.07</v>
      </c>
      <c r="N237" s="27">
        <v>428.73</v>
      </c>
      <c r="O237" s="27">
        <v>548.95</v>
      </c>
      <c r="P237" s="27">
        <v>0.0</v>
      </c>
      <c r="Q237" s="27">
        <v>0.0</v>
      </c>
      <c r="R237" s="27">
        <v>0.0</v>
      </c>
      <c r="S237" s="27">
        <v>0.0</v>
      </c>
      <c r="T237" s="27">
        <v>0.0</v>
      </c>
      <c r="U237" s="27">
        <v>1654.33</v>
      </c>
      <c r="V237" s="27">
        <v>27.04</v>
      </c>
      <c r="W237" s="27">
        <v>3.47</v>
      </c>
      <c r="X237" s="27">
        <v>14.22</v>
      </c>
      <c r="Y237" s="27">
        <v>5.09</v>
      </c>
      <c r="Z237" s="27">
        <v>4.24</v>
      </c>
      <c r="AA237" s="27">
        <v>57.96</v>
      </c>
      <c r="AB237" s="27">
        <v>7.1</v>
      </c>
      <c r="AC237" s="27">
        <v>9.18</v>
      </c>
      <c r="AD237" s="27">
        <v>16.26</v>
      </c>
      <c r="AE237" s="27">
        <v>25.41</v>
      </c>
      <c r="AF237" s="27">
        <v>85.0</v>
      </c>
      <c r="AG237" s="27"/>
      <c r="AH237" s="27"/>
      <c r="AI237" s="27"/>
      <c r="AJ237" s="27"/>
    </row>
    <row r="238" ht="25.5" customHeight="1">
      <c r="A238" s="23">
        <v>235.0</v>
      </c>
      <c r="B238" s="24">
        <v>46204.0</v>
      </c>
      <c r="C238" s="26" t="s">
        <v>2</v>
      </c>
      <c r="D238" s="26" t="s">
        <v>551</v>
      </c>
      <c r="E238" s="23" t="s">
        <v>552</v>
      </c>
      <c r="F238" s="23" t="s">
        <v>838</v>
      </c>
      <c r="G238" s="26"/>
      <c r="H238" s="26" t="s">
        <v>70</v>
      </c>
      <c r="I238" s="23" t="s">
        <v>72</v>
      </c>
      <c r="J238" s="23" t="s">
        <v>74</v>
      </c>
      <c r="K238" s="27">
        <v>516.15</v>
      </c>
      <c r="L238" s="27">
        <v>73.13</v>
      </c>
      <c r="M238" s="27">
        <v>158.11</v>
      </c>
      <c r="N238" s="27">
        <v>141.83</v>
      </c>
      <c r="O238" s="27">
        <v>143.07</v>
      </c>
      <c r="P238" s="27">
        <v>0.0</v>
      </c>
      <c r="Q238" s="27">
        <v>0.0</v>
      </c>
      <c r="R238" s="27">
        <v>0.0</v>
      </c>
      <c r="S238" s="27">
        <v>0.0</v>
      </c>
      <c r="T238" s="27">
        <v>0.0</v>
      </c>
      <c r="U238" s="27">
        <v>516.15</v>
      </c>
      <c r="V238" s="27">
        <v>3.5</v>
      </c>
      <c r="W238" s="27">
        <v>0.38</v>
      </c>
      <c r="X238" s="27">
        <v>2.29</v>
      </c>
      <c r="Y238" s="27">
        <v>0.55</v>
      </c>
      <c r="Z238" s="27">
        <v>0.26</v>
      </c>
      <c r="AA238" s="27">
        <v>50.26</v>
      </c>
      <c r="AB238" s="27">
        <v>6.0</v>
      </c>
      <c r="AC238" s="27">
        <v>12.0</v>
      </c>
      <c r="AD238" s="27">
        <v>12.91</v>
      </c>
      <c r="AE238" s="27">
        <v>19.33</v>
      </c>
      <c r="AF238" s="27">
        <v>53.76</v>
      </c>
      <c r="AG238" s="27"/>
      <c r="AH238" s="27"/>
      <c r="AI238" s="27"/>
      <c r="AJ238" s="27"/>
    </row>
    <row r="239" ht="25.5" customHeight="1">
      <c r="A239" s="23">
        <v>236.0</v>
      </c>
      <c r="B239" s="24">
        <v>46204.0</v>
      </c>
      <c r="C239" s="26" t="s">
        <v>2</v>
      </c>
      <c r="D239" s="26" t="s">
        <v>839</v>
      </c>
      <c r="E239" s="23" t="s">
        <v>840</v>
      </c>
      <c r="F239" s="23" t="s">
        <v>841</v>
      </c>
      <c r="G239" s="26"/>
      <c r="H239" s="26" t="s">
        <v>70</v>
      </c>
      <c r="I239" s="23" t="s">
        <v>72</v>
      </c>
      <c r="J239" s="23" t="s">
        <v>74</v>
      </c>
      <c r="K239" s="27">
        <v>931.76</v>
      </c>
      <c r="L239" s="27">
        <v>122.5</v>
      </c>
      <c r="M239" s="27">
        <v>266.16</v>
      </c>
      <c r="N239" s="27">
        <v>268.16</v>
      </c>
      <c r="O239" s="27">
        <v>274.93</v>
      </c>
      <c r="P239" s="27">
        <v>0.0</v>
      </c>
      <c r="Q239" s="27">
        <v>0.0</v>
      </c>
      <c r="R239" s="27">
        <v>0.0</v>
      </c>
      <c r="S239" s="27">
        <v>0.0</v>
      </c>
      <c r="T239" s="27">
        <v>0.0</v>
      </c>
      <c r="U239" s="27">
        <v>931.76</v>
      </c>
      <c r="V239" s="27">
        <v>79.41</v>
      </c>
      <c r="W239" s="27">
        <v>9.16</v>
      </c>
      <c r="X239" s="27">
        <v>27.86</v>
      </c>
      <c r="Y239" s="27">
        <v>18.78</v>
      </c>
      <c r="Z239" s="27">
        <v>23.59</v>
      </c>
      <c r="AA239" s="27">
        <v>9.17</v>
      </c>
      <c r="AB239" s="27">
        <v>1.44</v>
      </c>
      <c r="AC239" s="27">
        <v>1.84</v>
      </c>
      <c r="AD239" s="27">
        <v>1.78</v>
      </c>
      <c r="AE239" s="27">
        <v>4.1</v>
      </c>
      <c r="AF239" s="27">
        <v>88.58</v>
      </c>
      <c r="AG239" s="27"/>
      <c r="AH239" s="27"/>
      <c r="AI239" s="27"/>
      <c r="AJ239" s="27"/>
    </row>
    <row r="240" ht="25.5" customHeight="1">
      <c r="A240" s="23">
        <v>237.0</v>
      </c>
      <c r="B240" s="24">
        <v>46204.0</v>
      </c>
      <c r="C240" s="26" t="s">
        <v>2</v>
      </c>
      <c r="D240" s="26" t="s">
        <v>842</v>
      </c>
      <c r="E240" s="23" t="s">
        <v>843</v>
      </c>
      <c r="F240" s="23" t="s">
        <v>844</v>
      </c>
      <c r="G240" s="26"/>
      <c r="H240" s="26" t="s">
        <v>70</v>
      </c>
      <c r="I240" s="23" t="s">
        <v>72</v>
      </c>
      <c r="J240" s="23" t="s">
        <v>74</v>
      </c>
      <c r="K240" s="27">
        <v>1177.55</v>
      </c>
      <c r="L240" s="27">
        <v>153.53</v>
      </c>
      <c r="M240" s="27">
        <v>364.96</v>
      </c>
      <c r="N240" s="27">
        <v>326.85</v>
      </c>
      <c r="O240" s="27">
        <v>332.19</v>
      </c>
      <c r="P240" s="27">
        <v>0.0</v>
      </c>
      <c r="Q240" s="27">
        <v>0.0</v>
      </c>
      <c r="R240" s="27">
        <v>0.0</v>
      </c>
      <c r="S240" s="27">
        <v>0.0</v>
      </c>
      <c r="T240" s="27">
        <v>0.0</v>
      </c>
      <c r="U240" s="27">
        <v>1177.55</v>
      </c>
      <c r="V240" s="27">
        <v>50.5</v>
      </c>
      <c r="W240" s="27">
        <v>5.52</v>
      </c>
      <c r="X240" s="27">
        <v>23.94</v>
      </c>
      <c r="Y240" s="27">
        <v>11.23</v>
      </c>
      <c r="Z240" s="27">
        <v>9.8</v>
      </c>
      <c r="AA240" s="27">
        <v>41.6</v>
      </c>
      <c r="AB240" s="27">
        <v>5.53</v>
      </c>
      <c r="AC240" s="27">
        <v>7.28</v>
      </c>
      <c r="AD240" s="27">
        <v>10.72</v>
      </c>
      <c r="AE240" s="27">
        <v>18.06</v>
      </c>
      <c r="AF240" s="27">
        <v>92.1</v>
      </c>
      <c r="AG240" s="27"/>
      <c r="AH240" s="27"/>
      <c r="AI240" s="27"/>
      <c r="AJ240" s="27"/>
    </row>
    <row r="241" ht="25.5" customHeight="1">
      <c r="A241" s="23">
        <v>238.0</v>
      </c>
      <c r="B241" s="24">
        <v>46204.0</v>
      </c>
      <c r="C241" s="26" t="s">
        <v>2</v>
      </c>
      <c r="D241" s="26" t="s">
        <v>845</v>
      </c>
      <c r="E241" s="23" t="s">
        <v>846</v>
      </c>
      <c r="F241" s="23" t="s">
        <v>847</v>
      </c>
      <c r="G241" s="26"/>
      <c r="H241" s="26" t="s">
        <v>70</v>
      </c>
      <c r="I241" s="23" t="s">
        <v>107</v>
      </c>
      <c r="J241" s="23" t="s">
        <v>74</v>
      </c>
      <c r="K241" s="27">
        <v>2594.56</v>
      </c>
      <c r="L241" s="27">
        <v>356.75</v>
      </c>
      <c r="M241" s="27">
        <v>734.22</v>
      </c>
      <c r="N241" s="27">
        <v>683.05</v>
      </c>
      <c r="O241" s="27">
        <v>820.52</v>
      </c>
      <c r="P241" s="27">
        <v>0.0</v>
      </c>
      <c r="Q241" s="27">
        <v>0.0</v>
      </c>
      <c r="R241" s="27">
        <v>0.0</v>
      </c>
      <c r="S241" s="27">
        <v>0.0</v>
      </c>
      <c r="T241" s="27">
        <v>0.0</v>
      </c>
      <c r="U241" s="27">
        <v>2594.56</v>
      </c>
      <c r="V241" s="27">
        <v>69.03</v>
      </c>
      <c r="W241" s="27">
        <v>9.51</v>
      </c>
      <c r="X241" s="27">
        <v>29.72</v>
      </c>
      <c r="Y241" s="27">
        <v>15.54</v>
      </c>
      <c r="Z241" s="27">
        <v>14.24</v>
      </c>
      <c r="AA241" s="27">
        <v>83.36</v>
      </c>
      <c r="AB241" s="27">
        <v>11.47</v>
      </c>
      <c r="AC241" s="27">
        <v>17.27</v>
      </c>
      <c r="AD241" s="27">
        <v>18.39</v>
      </c>
      <c r="AE241" s="27">
        <v>36.21</v>
      </c>
      <c r="AF241" s="27">
        <v>152.39</v>
      </c>
      <c r="AG241" s="27"/>
      <c r="AH241" s="27"/>
      <c r="AI241" s="27"/>
      <c r="AJ241" s="27"/>
    </row>
    <row r="242" ht="25.5" customHeight="1">
      <c r="A242" s="23">
        <v>239.0</v>
      </c>
      <c r="B242" s="24">
        <v>46204.0</v>
      </c>
      <c r="C242" s="26" t="s">
        <v>2</v>
      </c>
      <c r="D242" s="26" t="s">
        <v>848</v>
      </c>
      <c r="E242" s="23" t="s">
        <v>849</v>
      </c>
      <c r="F242" s="23" t="s">
        <v>850</v>
      </c>
      <c r="G242" s="26"/>
      <c r="H242" s="26" t="s">
        <v>70</v>
      </c>
      <c r="I242" s="23" t="s">
        <v>107</v>
      </c>
      <c r="J242" s="23" t="s">
        <v>74</v>
      </c>
      <c r="K242" s="27">
        <v>1758.55</v>
      </c>
      <c r="L242" s="27">
        <v>265.73</v>
      </c>
      <c r="M242" s="27">
        <v>545.76</v>
      </c>
      <c r="N242" s="27">
        <v>463.5</v>
      </c>
      <c r="O242" s="27">
        <v>483.54</v>
      </c>
      <c r="P242" s="27">
        <v>0.0</v>
      </c>
      <c r="Q242" s="27">
        <v>0.0</v>
      </c>
      <c r="R242" s="27">
        <v>0.0</v>
      </c>
      <c r="S242" s="27">
        <v>0.0</v>
      </c>
      <c r="T242" s="27">
        <v>0.0</v>
      </c>
      <c r="U242" s="27">
        <v>1758.55</v>
      </c>
      <c r="V242" s="27">
        <v>6.88</v>
      </c>
      <c r="W242" s="27">
        <v>1.03</v>
      </c>
      <c r="X242" s="27">
        <v>4.55</v>
      </c>
      <c r="Y242" s="27">
        <v>0.99</v>
      </c>
      <c r="Z242" s="27">
        <v>0.3</v>
      </c>
      <c r="AA242" s="27">
        <v>134.17</v>
      </c>
      <c r="AB242" s="27">
        <v>17.32</v>
      </c>
      <c r="AC242" s="27">
        <v>34.33</v>
      </c>
      <c r="AD242" s="27">
        <v>32.88</v>
      </c>
      <c r="AE242" s="27">
        <v>49.63</v>
      </c>
      <c r="AF242" s="27">
        <v>141.05</v>
      </c>
      <c r="AG242" s="27"/>
      <c r="AH242" s="27"/>
      <c r="AI242" s="27"/>
      <c r="AJ242" s="27"/>
    </row>
    <row r="243" ht="25.5" customHeight="1">
      <c r="A243" s="23">
        <v>240.0</v>
      </c>
      <c r="B243" s="24">
        <v>46204.0</v>
      </c>
      <c r="C243" s="26" t="s">
        <v>2</v>
      </c>
      <c r="D243" s="26" t="s">
        <v>202</v>
      </c>
      <c r="E243" s="23" t="s">
        <v>203</v>
      </c>
      <c r="F243" s="23" t="s">
        <v>851</v>
      </c>
      <c r="G243" s="26"/>
      <c r="H243" s="26" t="s">
        <v>70</v>
      </c>
      <c r="I243" s="23" t="s">
        <v>826</v>
      </c>
      <c r="J243" s="23" t="s">
        <v>74</v>
      </c>
      <c r="K243" s="27">
        <v>2064.02</v>
      </c>
      <c r="L243" s="27">
        <v>267.21</v>
      </c>
      <c r="M243" s="27">
        <v>544.26</v>
      </c>
      <c r="N243" s="27">
        <v>541.19</v>
      </c>
      <c r="O243" s="27">
        <v>711.34</v>
      </c>
      <c r="P243" s="27">
        <v>72.4</v>
      </c>
      <c r="Q243" s="27">
        <v>4.17</v>
      </c>
      <c r="R243" s="27">
        <v>68.21</v>
      </c>
      <c r="S243" s="27">
        <v>0.01</v>
      </c>
      <c r="T243" s="27">
        <v>0.0</v>
      </c>
      <c r="U243" s="27">
        <v>2136.42</v>
      </c>
      <c r="V243" s="27">
        <v>129.97</v>
      </c>
      <c r="W243" s="27">
        <v>15.63</v>
      </c>
      <c r="X243" s="27">
        <v>49.13</v>
      </c>
      <c r="Y243" s="27">
        <v>28.83</v>
      </c>
      <c r="Z243" s="27">
        <v>36.37</v>
      </c>
      <c r="AA243" s="27">
        <v>33.33</v>
      </c>
      <c r="AB243" s="27">
        <v>4.15</v>
      </c>
      <c r="AC243" s="27">
        <v>9.55</v>
      </c>
      <c r="AD243" s="27">
        <v>8.04</v>
      </c>
      <c r="AE243" s="27">
        <v>11.57</v>
      </c>
      <c r="AF243" s="27">
        <v>163.3</v>
      </c>
      <c r="AG243" s="27"/>
      <c r="AH243" s="27"/>
      <c r="AI243" s="27"/>
      <c r="AJ243" s="27"/>
    </row>
    <row r="244" ht="25.5" customHeight="1">
      <c r="A244" s="23">
        <v>241.0</v>
      </c>
      <c r="B244" s="24">
        <v>46204.0</v>
      </c>
      <c r="C244" s="26" t="s">
        <v>2</v>
      </c>
      <c r="D244" s="26" t="s">
        <v>852</v>
      </c>
      <c r="E244" s="23" t="s">
        <v>853</v>
      </c>
      <c r="F244" s="23" t="s">
        <v>854</v>
      </c>
      <c r="G244" s="26"/>
      <c r="H244" s="26" t="s">
        <v>70</v>
      </c>
      <c r="I244" s="23" t="s">
        <v>107</v>
      </c>
      <c r="J244" s="23" t="s">
        <v>74</v>
      </c>
      <c r="K244" s="27">
        <v>6029.21</v>
      </c>
      <c r="L244" s="27">
        <v>911.92</v>
      </c>
      <c r="M244" s="27">
        <v>1742.54</v>
      </c>
      <c r="N244" s="27">
        <v>1327.7</v>
      </c>
      <c r="O244" s="27">
        <v>2047.03</v>
      </c>
      <c r="P244" s="27">
        <v>0.0</v>
      </c>
      <c r="Q244" s="27">
        <v>0.0</v>
      </c>
      <c r="R244" s="27">
        <v>0.0</v>
      </c>
      <c r="S244" s="27">
        <v>0.0</v>
      </c>
      <c r="T244" s="27">
        <v>0.0</v>
      </c>
      <c r="U244" s="27">
        <v>6029.21</v>
      </c>
      <c r="V244" s="27">
        <v>622.65</v>
      </c>
      <c r="W244" s="27">
        <v>77.44</v>
      </c>
      <c r="X244" s="27">
        <v>276.29</v>
      </c>
      <c r="Y244" s="27">
        <v>113.37</v>
      </c>
      <c r="Z244" s="27">
        <v>155.53</v>
      </c>
      <c r="AA244" s="27">
        <v>3.51</v>
      </c>
      <c r="AB244" s="27">
        <v>0.16</v>
      </c>
      <c r="AC244" s="27">
        <v>0.09</v>
      </c>
      <c r="AD244" s="27">
        <v>0.33</v>
      </c>
      <c r="AE244" s="27">
        <v>2.92</v>
      </c>
      <c r="AF244" s="27">
        <v>626.16</v>
      </c>
      <c r="AG244" s="27"/>
      <c r="AH244" s="27"/>
      <c r="AI244" s="27"/>
      <c r="AJ244" s="27"/>
    </row>
    <row r="245" ht="25.5" customHeight="1">
      <c r="A245" s="23">
        <v>242.0</v>
      </c>
      <c r="B245" s="24">
        <v>46204.0</v>
      </c>
      <c r="C245" s="26" t="s">
        <v>2</v>
      </c>
      <c r="D245" s="26" t="s">
        <v>477</v>
      </c>
      <c r="E245" s="23" t="s">
        <v>478</v>
      </c>
      <c r="F245" s="23" t="s">
        <v>855</v>
      </c>
      <c r="G245" s="26"/>
      <c r="H245" s="26" t="s">
        <v>70</v>
      </c>
      <c r="I245" s="23" t="s">
        <v>107</v>
      </c>
      <c r="J245" s="23" t="s">
        <v>74</v>
      </c>
      <c r="K245" s="27">
        <v>2502.33</v>
      </c>
      <c r="L245" s="27">
        <v>314.24</v>
      </c>
      <c r="M245" s="27">
        <v>790.18</v>
      </c>
      <c r="N245" s="27">
        <v>585.35</v>
      </c>
      <c r="O245" s="27">
        <v>812.54</v>
      </c>
      <c r="P245" s="27">
        <v>0.0</v>
      </c>
      <c r="Q245" s="27">
        <v>0.0</v>
      </c>
      <c r="R245" s="27">
        <v>0.0</v>
      </c>
      <c r="S245" s="27">
        <v>0.0</v>
      </c>
      <c r="T245" s="27">
        <v>0.0</v>
      </c>
      <c r="U245" s="27">
        <v>2502.33</v>
      </c>
      <c r="V245" s="27">
        <v>168.04</v>
      </c>
      <c r="W245" s="27">
        <v>19.13</v>
      </c>
      <c r="X245" s="27">
        <v>63.76</v>
      </c>
      <c r="Y245" s="27">
        <v>35.05</v>
      </c>
      <c r="Z245" s="27">
        <v>50.08</v>
      </c>
      <c r="AA245" s="27">
        <v>21.4</v>
      </c>
      <c r="AB245" s="27">
        <v>2.83</v>
      </c>
      <c r="AC245" s="27">
        <v>2.81</v>
      </c>
      <c r="AD245" s="27">
        <v>3.97</v>
      </c>
      <c r="AE245" s="27">
        <v>11.78</v>
      </c>
      <c r="AF245" s="27">
        <v>189.44</v>
      </c>
      <c r="AG245" s="27"/>
      <c r="AH245" s="27"/>
      <c r="AI245" s="27"/>
      <c r="AJ245" s="27"/>
    </row>
    <row r="246" ht="25.5" customHeight="1">
      <c r="A246" s="23">
        <v>243.0</v>
      </c>
      <c r="B246" s="24">
        <v>46204.0</v>
      </c>
      <c r="C246" s="26" t="s">
        <v>2</v>
      </c>
      <c r="D246" s="26" t="s">
        <v>856</v>
      </c>
      <c r="E246" s="23" t="s">
        <v>857</v>
      </c>
      <c r="F246" s="23" t="s">
        <v>858</v>
      </c>
      <c r="G246" s="26"/>
      <c r="H246" s="26" t="s">
        <v>70</v>
      </c>
      <c r="I246" s="23" t="s">
        <v>72</v>
      </c>
      <c r="J246" s="23" t="s">
        <v>74</v>
      </c>
      <c r="K246" s="27">
        <v>3750.95</v>
      </c>
      <c r="L246" s="27">
        <v>485.74</v>
      </c>
      <c r="M246" s="27">
        <v>1062.21</v>
      </c>
      <c r="N246" s="27">
        <v>891.12</v>
      </c>
      <c r="O246" s="27">
        <v>1311.87</v>
      </c>
      <c r="P246" s="27">
        <v>0.0</v>
      </c>
      <c r="Q246" s="27">
        <v>0.0</v>
      </c>
      <c r="R246" s="27">
        <v>0.0</v>
      </c>
      <c r="S246" s="27">
        <v>0.0</v>
      </c>
      <c r="T246" s="27">
        <v>0.0</v>
      </c>
      <c r="U246" s="27">
        <v>3750.95</v>
      </c>
      <c r="V246" s="27">
        <v>123.13</v>
      </c>
      <c r="W246" s="27">
        <v>15.06</v>
      </c>
      <c r="X246" s="27">
        <v>48.35</v>
      </c>
      <c r="Y246" s="27">
        <v>23.95</v>
      </c>
      <c r="Z246" s="27">
        <v>35.75</v>
      </c>
      <c r="AA246" s="27">
        <v>37.8</v>
      </c>
      <c r="AB246" s="27">
        <v>4.44</v>
      </c>
      <c r="AC246" s="27">
        <v>6.17</v>
      </c>
      <c r="AD246" s="27">
        <v>10.29</v>
      </c>
      <c r="AE246" s="27">
        <v>16.89</v>
      </c>
      <c r="AF246" s="27">
        <v>160.93</v>
      </c>
      <c r="AG246" s="27"/>
      <c r="AH246" s="27"/>
      <c r="AI246" s="27"/>
      <c r="AJ246" s="27"/>
    </row>
    <row r="247" ht="25.5" customHeight="1">
      <c r="A247" s="23">
        <v>244.0</v>
      </c>
      <c r="B247" s="24">
        <v>46204.0</v>
      </c>
      <c r="C247" s="26" t="s">
        <v>2</v>
      </c>
      <c r="D247" s="26" t="s">
        <v>859</v>
      </c>
      <c r="E247" s="23" t="s">
        <v>860</v>
      </c>
      <c r="F247" s="23" t="s">
        <v>861</v>
      </c>
      <c r="G247" s="26"/>
      <c r="H247" s="26" t="s">
        <v>70</v>
      </c>
      <c r="I247" s="23" t="s">
        <v>81</v>
      </c>
      <c r="J247" s="23" t="s">
        <v>74</v>
      </c>
      <c r="K247" s="27">
        <v>1895.08</v>
      </c>
      <c r="L247" s="27">
        <v>272.29</v>
      </c>
      <c r="M247" s="27">
        <v>612.97</v>
      </c>
      <c r="N247" s="27">
        <v>482.36</v>
      </c>
      <c r="O247" s="27">
        <v>527.45</v>
      </c>
      <c r="P247" s="27">
        <v>0.0</v>
      </c>
      <c r="Q247" s="27">
        <v>0.0</v>
      </c>
      <c r="R247" s="27">
        <v>0.0</v>
      </c>
      <c r="S247" s="27">
        <v>0.0</v>
      </c>
      <c r="T247" s="27">
        <v>0.0</v>
      </c>
      <c r="U247" s="27">
        <v>1895.08</v>
      </c>
      <c r="V247" s="27">
        <v>194.76</v>
      </c>
      <c r="W247" s="27">
        <v>29.89</v>
      </c>
      <c r="X247" s="27">
        <v>65.32</v>
      </c>
      <c r="Y247" s="27">
        <v>44.53</v>
      </c>
      <c r="Z247" s="27">
        <v>55.0</v>
      </c>
      <c r="AA247" s="27">
        <v>5.92</v>
      </c>
      <c r="AB247" s="27">
        <v>0.38</v>
      </c>
      <c r="AC247" s="27">
        <v>1.57</v>
      </c>
      <c r="AD247" s="27">
        <v>1.43</v>
      </c>
      <c r="AE247" s="27">
        <v>2.53</v>
      </c>
      <c r="AF247" s="27">
        <v>200.68</v>
      </c>
      <c r="AG247" s="27"/>
      <c r="AH247" s="27"/>
      <c r="AI247" s="27"/>
      <c r="AJ247" s="27"/>
    </row>
    <row r="248" ht="25.5" customHeight="1">
      <c r="A248" s="23">
        <v>245.0</v>
      </c>
      <c r="B248" s="24">
        <v>46204.0</v>
      </c>
      <c r="C248" s="26" t="s">
        <v>2</v>
      </c>
      <c r="D248" s="26" t="s">
        <v>862</v>
      </c>
      <c r="E248" s="23" t="s">
        <v>863</v>
      </c>
      <c r="F248" s="23" t="s">
        <v>864</v>
      </c>
      <c r="G248" s="26"/>
      <c r="H248" s="26" t="s">
        <v>70</v>
      </c>
      <c r="I248" s="23" t="s">
        <v>456</v>
      </c>
      <c r="J248" s="23" t="s">
        <v>74</v>
      </c>
      <c r="K248" s="27">
        <v>2513.58</v>
      </c>
      <c r="L248" s="27">
        <v>350.29</v>
      </c>
      <c r="M248" s="27">
        <v>718.24</v>
      </c>
      <c r="N248" s="27">
        <v>640.46</v>
      </c>
      <c r="O248" s="27">
        <v>804.59</v>
      </c>
      <c r="P248" s="27">
        <v>0.0</v>
      </c>
      <c r="Q248" s="27">
        <v>0.0</v>
      </c>
      <c r="R248" s="27">
        <v>0.0</v>
      </c>
      <c r="S248" s="27">
        <v>0.0</v>
      </c>
      <c r="T248" s="27">
        <v>0.0</v>
      </c>
      <c r="U248" s="27">
        <v>2513.58</v>
      </c>
      <c r="V248" s="27">
        <v>87.96</v>
      </c>
      <c r="W248" s="27">
        <v>12.75</v>
      </c>
      <c r="X248" s="27">
        <v>38.34</v>
      </c>
      <c r="Y248" s="27">
        <v>15.5</v>
      </c>
      <c r="Z248" s="27">
        <v>21.35</v>
      </c>
      <c r="AA248" s="27">
        <v>35.07</v>
      </c>
      <c r="AB248" s="27">
        <v>3.95</v>
      </c>
      <c r="AC248" s="27">
        <v>4.71</v>
      </c>
      <c r="AD248" s="27">
        <v>10.01</v>
      </c>
      <c r="AE248" s="27">
        <v>16.38</v>
      </c>
      <c r="AF248" s="27">
        <v>123.03</v>
      </c>
      <c r="AG248" s="27"/>
      <c r="AH248" s="27"/>
      <c r="AI248" s="27"/>
      <c r="AJ248" s="27"/>
    </row>
    <row r="249" ht="25.5" customHeight="1">
      <c r="A249" s="23">
        <v>246.0</v>
      </c>
      <c r="B249" s="24">
        <v>46204.0</v>
      </c>
      <c r="C249" s="26" t="s">
        <v>2</v>
      </c>
      <c r="D249" s="26" t="s">
        <v>865</v>
      </c>
      <c r="E249" s="23" t="s">
        <v>866</v>
      </c>
      <c r="F249" s="23" t="s">
        <v>867</v>
      </c>
      <c r="G249" s="26"/>
      <c r="H249" s="26" t="s">
        <v>70</v>
      </c>
      <c r="I249" s="23" t="s">
        <v>72</v>
      </c>
      <c r="J249" s="23" t="s">
        <v>74</v>
      </c>
      <c r="K249" s="27">
        <v>1967.27</v>
      </c>
      <c r="L249" s="27">
        <v>237.15</v>
      </c>
      <c r="M249" s="27">
        <v>527.41</v>
      </c>
      <c r="N249" s="27">
        <v>486.14</v>
      </c>
      <c r="O249" s="27">
        <v>716.55</v>
      </c>
      <c r="P249" s="27">
        <v>0.0</v>
      </c>
      <c r="Q249" s="27">
        <v>0.0</v>
      </c>
      <c r="R249" s="27">
        <v>0.0</v>
      </c>
      <c r="S249" s="27">
        <v>0.0</v>
      </c>
      <c r="T249" s="27">
        <v>0.0</v>
      </c>
      <c r="U249" s="27">
        <v>1967.27</v>
      </c>
      <c r="V249" s="27">
        <v>28.71</v>
      </c>
      <c r="W249" s="27">
        <v>3.71</v>
      </c>
      <c r="X249" s="27">
        <v>15.83</v>
      </c>
      <c r="Y249" s="27">
        <v>5.13</v>
      </c>
      <c r="Z249" s="27">
        <v>4.03</v>
      </c>
      <c r="AA249" s="27">
        <v>86.08</v>
      </c>
      <c r="AB249" s="27">
        <v>9.41</v>
      </c>
      <c r="AC249" s="27">
        <v>15.98</v>
      </c>
      <c r="AD249" s="27">
        <v>21.62</v>
      </c>
      <c r="AE249" s="27">
        <v>39.06</v>
      </c>
      <c r="AF249" s="27">
        <v>114.79</v>
      </c>
      <c r="AG249" s="27"/>
      <c r="AH249" s="27"/>
      <c r="AI249" s="27"/>
      <c r="AJ249" s="27"/>
    </row>
    <row r="250" ht="25.5" customHeight="1">
      <c r="A250" s="23">
        <v>247.0</v>
      </c>
      <c r="B250" s="24">
        <v>46204.0</v>
      </c>
      <c r="C250" s="26" t="s">
        <v>2</v>
      </c>
      <c r="D250" s="26" t="s">
        <v>868</v>
      </c>
      <c r="E250" s="23" t="s">
        <v>869</v>
      </c>
      <c r="F250" s="23" t="s">
        <v>870</v>
      </c>
      <c r="G250" s="26"/>
      <c r="H250" s="26" t="s">
        <v>70</v>
      </c>
      <c r="I250" s="23" t="s">
        <v>81</v>
      </c>
      <c r="J250" s="23" t="s">
        <v>74</v>
      </c>
      <c r="K250" s="27">
        <v>1061.78</v>
      </c>
      <c r="L250" s="27">
        <v>135.77</v>
      </c>
      <c r="M250" s="27">
        <v>296.65</v>
      </c>
      <c r="N250" s="27">
        <v>282.66</v>
      </c>
      <c r="O250" s="27">
        <v>346.68</v>
      </c>
      <c r="P250" s="27">
        <v>0.0</v>
      </c>
      <c r="Q250" s="27">
        <v>0.0</v>
      </c>
      <c r="R250" s="27">
        <v>0.0</v>
      </c>
      <c r="S250" s="27">
        <v>0.0</v>
      </c>
      <c r="T250" s="27">
        <v>0.0</v>
      </c>
      <c r="U250" s="27">
        <v>1061.78</v>
      </c>
      <c r="V250" s="27">
        <v>16.44</v>
      </c>
      <c r="W250" s="27">
        <v>2.02</v>
      </c>
      <c r="X250" s="27">
        <v>8.45</v>
      </c>
      <c r="Y250" s="27">
        <v>2.97</v>
      </c>
      <c r="Z250" s="27">
        <v>2.99</v>
      </c>
      <c r="AA250" s="27">
        <v>33.02</v>
      </c>
      <c r="AB250" s="27">
        <v>4.1</v>
      </c>
      <c r="AC250" s="27">
        <v>6.2</v>
      </c>
      <c r="AD250" s="27">
        <v>8.29</v>
      </c>
      <c r="AE250" s="27">
        <v>14.41</v>
      </c>
      <c r="AF250" s="27">
        <v>49.46</v>
      </c>
      <c r="AG250" s="27"/>
      <c r="AH250" s="27"/>
      <c r="AI250" s="27"/>
      <c r="AJ250" s="27"/>
    </row>
    <row r="251" ht="25.5" customHeight="1">
      <c r="A251" s="23">
        <v>248.0</v>
      </c>
      <c r="B251" s="24">
        <v>46204.0</v>
      </c>
      <c r="C251" s="26" t="s">
        <v>2</v>
      </c>
      <c r="D251" s="26" t="s">
        <v>871</v>
      </c>
      <c r="E251" s="23" t="s">
        <v>872</v>
      </c>
      <c r="F251" s="23" t="s">
        <v>873</v>
      </c>
      <c r="G251" s="26"/>
      <c r="H251" s="26" t="s">
        <v>70</v>
      </c>
      <c r="I251" s="23" t="s">
        <v>72</v>
      </c>
      <c r="J251" s="23" t="s">
        <v>74</v>
      </c>
      <c r="K251" s="27">
        <v>893.7</v>
      </c>
      <c r="L251" s="27">
        <v>118.51</v>
      </c>
      <c r="M251" s="27">
        <v>253.36</v>
      </c>
      <c r="N251" s="27">
        <v>259.64</v>
      </c>
      <c r="O251" s="27">
        <v>262.17</v>
      </c>
      <c r="P251" s="27">
        <v>2.41</v>
      </c>
      <c r="Q251" s="27">
        <v>0.1</v>
      </c>
      <c r="R251" s="27">
        <v>2.31</v>
      </c>
      <c r="S251" s="27">
        <v>0.0</v>
      </c>
      <c r="T251" s="27">
        <v>0.0</v>
      </c>
      <c r="U251" s="27">
        <v>896.11</v>
      </c>
      <c r="V251" s="27">
        <v>95.74</v>
      </c>
      <c r="W251" s="27">
        <v>13.24</v>
      </c>
      <c r="X251" s="27">
        <v>45.2</v>
      </c>
      <c r="Y251" s="27">
        <v>17.26</v>
      </c>
      <c r="Z251" s="27">
        <v>20.02</v>
      </c>
      <c r="AA251" s="27">
        <v>7.82</v>
      </c>
      <c r="AB251" s="27">
        <v>1.03</v>
      </c>
      <c r="AC251" s="27">
        <v>0.53</v>
      </c>
      <c r="AD251" s="27">
        <v>1.51</v>
      </c>
      <c r="AE251" s="27">
        <v>4.74</v>
      </c>
      <c r="AF251" s="27">
        <v>103.56</v>
      </c>
      <c r="AG251" s="27"/>
      <c r="AH251" s="27"/>
      <c r="AI251" s="27"/>
      <c r="AJ251" s="27"/>
    </row>
    <row r="252" ht="25.5" customHeight="1">
      <c r="A252" s="23">
        <v>249.0</v>
      </c>
      <c r="B252" s="24">
        <v>46204.0</v>
      </c>
      <c r="C252" s="26" t="s">
        <v>2</v>
      </c>
      <c r="D252" s="26" t="s">
        <v>874</v>
      </c>
      <c r="E252" s="23" t="s">
        <v>875</v>
      </c>
      <c r="F252" s="23" t="s">
        <v>876</v>
      </c>
      <c r="G252" s="26"/>
      <c r="H252" s="26" t="s">
        <v>70</v>
      </c>
      <c r="I252" s="23" t="s">
        <v>456</v>
      </c>
      <c r="J252" s="23" t="s">
        <v>74</v>
      </c>
      <c r="K252" s="27">
        <v>1.0</v>
      </c>
      <c r="L252" s="27">
        <v>0.0</v>
      </c>
      <c r="M252" s="27">
        <v>1.0</v>
      </c>
      <c r="N252" s="27">
        <v>0.0</v>
      </c>
      <c r="O252" s="27">
        <v>0.0</v>
      </c>
      <c r="P252" s="27">
        <v>0.0</v>
      </c>
      <c r="Q252" s="27">
        <v>0.0</v>
      </c>
      <c r="R252" s="27">
        <v>0.0</v>
      </c>
      <c r="S252" s="27">
        <v>0.0</v>
      </c>
      <c r="T252" s="27">
        <v>0.0</v>
      </c>
      <c r="U252" s="27">
        <v>1.0</v>
      </c>
      <c r="V252" s="27">
        <v>0.0</v>
      </c>
      <c r="W252" s="27">
        <v>0.0</v>
      </c>
      <c r="X252" s="27">
        <v>0.0</v>
      </c>
      <c r="Y252" s="27">
        <v>0.0</v>
      </c>
      <c r="Z252" s="27">
        <v>0.0</v>
      </c>
      <c r="AA252" s="27">
        <v>0.0</v>
      </c>
      <c r="AB252" s="27">
        <v>0.0</v>
      </c>
      <c r="AC252" s="27">
        <v>0.0</v>
      </c>
      <c r="AD252" s="27">
        <v>0.0</v>
      </c>
      <c r="AE252" s="27">
        <v>0.0</v>
      </c>
      <c r="AF252" s="27">
        <v>0.0</v>
      </c>
      <c r="AG252" s="27"/>
      <c r="AH252" s="27"/>
      <c r="AI252" s="27"/>
      <c r="AJ252" s="27"/>
    </row>
    <row r="253" ht="25.5" customHeight="1">
      <c r="A253" s="23">
        <v>250.0</v>
      </c>
      <c r="B253" s="24">
        <v>46204.0</v>
      </c>
      <c r="C253" s="26" t="s">
        <v>2</v>
      </c>
      <c r="D253" s="26" t="s">
        <v>458</v>
      </c>
      <c r="E253" s="23" t="s">
        <v>459</v>
      </c>
      <c r="F253" s="23" t="s">
        <v>877</v>
      </c>
      <c r="G253" s="26"/>
      <c r="H253" s="26" t="s">
        <v>70</v>
      </c>
      <c r="I253" s="23" t="s">
        <v>456</v>
      </c>
      <c r="J253" s="23" t="s">
        <v>74</v>
      </c>
      <c r="K253" s="27">
        <v>313.95</v>
      </c>
      <c r="L253" s="27">
        <v>39.72</v>
      </c>
      <c r="M253" s="27">
        <v>97.33</v>
      </c>
      <c r="N253" s="27">
        <v>90.8</v>
      </c>
      <c r="O253" s="27">
        <v>86.08</v>
      </c>
      <c r="P253" s="27">
        <v>1.3</v>
      </c>
      <c r="Q253" s="27">
        <v>0.26</v>
      </c>
      <c r="R253" s="27">
        <v>0.49</v>
      </c>
      <c r="S253" s="27">
        <v>0.13</v>
      </c>
      <c r="T253" s="27">
        <v>0.4</v>
      </c>
      <c r="U253" s="27">
        <v>315.25</v>
      </c>
      <c r="V253" s="27">
        <v>37.93</v>
      </c>
      <c r="W253" s="27">
        <v>5.33</v>
      </c>
      <c r="X253" s="27">
        <v>17.88</v>
      </c>
      <c r="Y253" s="27">
        <v>7.8</v>
      </c>
      <c r="Z253" s="27">
        <v>6.91</v>
      </c>
      <c r="AA253" s="27">
        <v>15.22</v>
      </c>
      <c r="AB253" s="27">
        <v>1.74</v>
      </c>
      <c r="AC253" s="27">
        <v>1.36</v>
      </c>
      <c r="AD253" s="27">
        <v>4.68</v>
      </c>
      <c r="AE253" s="27">
        <v>7.42</v>
      </c>
      <c r="AF253" s="27">
        <v>53.15</v>
      </c>
      <c r="AG253" s="27"/>
      <c r="AH253" s="27"/>
      <c r="AI253" s="27"/>
      <c r="AJ253" s="27"/>
    </row>
    <row r="254" ht="25.5" customHeight="1">
      <c r="A254" s="23">
        <v>251.0</v>
      </c>
      <c r="B254" s="24">
        <v>46204.0</v>
      </c>
      <c r="C254" s="26" t="s">
        <v>2</v>
      </c>
      <c r="D254" s="26" t="s">
        <v>413</v>
      </c>
      <c r="E254" s="23" t="s">
        <v>414</v>
      </c>
      <c r="F254" s="23" t="s">
        <v>878</v>
      </c>
      <c r="G254" s="26"/>
      <c r="H254" s="26" t="s">
        <v>70</v>
      </c>
      <c r="I254" s="23" t="s">
        <v>448</v>
      </c>
      <c r="J254" s="23" t="s">
        <v>74</v>
      </c>
      <c r="K254" s="27">
        <v>4751.7</v>
      </c>
      <c r="L254" s="27">
        <v>607.63</v>
      </c>
      <c r="M254" s="27">
        <v>1908.34</v>
      </c>
      <c r="N254" s="27">
        <v>1063.66</v>
      </c>
      <c r="O254" s="27">
        <v>1172.06</v>
      </c>
      <c r="P254" s="27">
        <v>0.0</v>
      </c>
      <c r="Q254" s="27">
        <v>0.0</v>
      </c>
      <c r="R254" s="27">
        <v>0.0</v>
      </c>
      <c r="S254" s="27">
        <v>0.0</v>
      </c>
      <c r="T254" s="27">
        <v>0.0</v>
      </c>
      <c r="U254" s="27">
        <v>4751.7</v>
      </c>
      <c r="V254" s="27">
        <v>331.58</v>
      </c>
      <c r="W254" s="27">
        <v>37.07</v>
      </c>
      <c r="X254" s="27">
        <v>116.87</v>
      </c>
      <c r="Y254" s="27">
        <v>73.59</v>
      </c>
      <c r="Z254" s="27">
        <v>104.03</v>
      </c>
      <c r="AA254" s="27">
        <v>0.53</v>
      </c>
      <c r="AB254" s="27">
        <v>0.18</v>
      </c>
      <c r="AC254" s="27">
        <v>0.14</v>
      </c>
      <c r="AD254" s="27">
        <v>0.04</v>
      </c>
      <c r="AE254" s="27">
        <v>0.15</v>
      </c>
      <c r="AF254" s="27">
        <v>332.11</v>
      </c>
      <c r="AG254" s="27"/>
      <c r="AH254" s="27"/>
      <c r="AI254" s="27"/>
      <c r="AJ254" s="27"/>
    </row>
    <row r="255" ht="25.5" customHeight="1">
      <c r="A255" s="23">
        <v>252.0</v>
      </c>
      <c r="B255" s="24">
        <v>46204.0</v>
      </c>
      <c r="C255" s="26" t="s">
        <v>2</v>
      </c>
      <c r="D255" s="26" t="s">
        <v>452</v>
      </c>
      <c r="E255" s="23" t="s">
        <v>453</v>
      </c>
      <c r="F255" s="23" t="s">
        <v>879</v>
      </c>
      <c r="G255" s="26"/>
      <c r="H255" s="26" t="s">
        <v>70</v>
      </c>
      <c r="I255" s="23" t="s">
        <v>107</v>
      </c>
      <c r="J255" s="23" t="s">
        <v>74</v>
      </c>
      <c r="K255" s="27">
        <v>3185.21</v>
      </c>
      <c r="L255" s="27">
        <v>430.48</v>
      </c>
      <c r="M255" s="27">
        <v>1035.62</v>
      </c>
      <c r="N255" s="27">
        <v>838.08</v>
      </c>
      <c r="O255" s="27">
        <v>881.02</v>
      </c>
      <c r="P255" s="27">
        <v>0.0</v>
      </c>
      <c r="Q255" s="27">
        <v>0.0</v>
      </c>
      <c r="R255" s="27">
        <v>0.0</v>
      </c>
      <c r="S255" s="27">
        <v>0.0</v>
      </c>
      <c r="T255" s="27">
        <v>0.0</v>
      </c>
      <c r="U255" s="27">
        <v>3185.21</v>
      </c>
      <c r="V255" s="27">
        <v>183.46</v>
      </c>
      <c r="W255" s="27">
        <v>25.85</v>
      </c>
      <c r="X255" s="27">
        <v>74.6</v>
      </c>
      <c r="Y255" s="27">
        <v>38.0</v>
      </c>
      <c r="Z255" s="27">
        <v>45.0</v>
      </c>
      <c r="AA255" s="27">
        <v>3.99</v>
      </c>
      <c r="AB255" s="27">
        <v>0.47</v>
      </c>
      <c r="AC255" s="27">
        <v>0.17</v>
      </c>
      <c r="AD255" s="27">
        <v>1.62</v>
      </c>
      <c r="AE255" s="27">
        <v>1.71</v>
      </c>
      <c r="AF255" s="27">
        <v>187.45</v>
      </c>
      <c r="AG255" s="27"/>
      <c r="AH255" s="27"/>
      <c r="AI255" s="27"/>
      <c r="AJ255" s="27"/>
    </row>
    <row r="256" ht="25.5" customHeight="1">
      <c r="A256" s="23">
        <v>253.0</v>
      </c>
      <c r="B256" s="24">
        <v>46204.0</v>
      </c>
      <c r="C256" s="26" t="s">
        <v>2</v>
      </c>
      <c r="D256" s="26" t="s">
        <v>463</v>
      </c>
      <c r="E256" s="23" t="s">
        <v>464</v>
      </c>
      <c r="F256" s="23" t="s">
        <v>880</v>
      </c>
      <c r="G256" s="26"/>
      <c r="H256" s="26" t="s">
        <v>70</v>
      </c>
      <c r="I256" s="23" t="s">
        <v>72</v>
      </c>
      <c r="J256" s="23" t="s">
        <v>74</v>
      </c>
      <c r="K256" s="27">
        <v>2055.96</v>
      </c>
      <c r="L256" s="27">
        <v>269.34</v>
      </c>
      <c r="M256" s="27">
        <v>624.44</v>
      </c>
      <c r="N256" s="27">
        <v>512.56</v>
      </c>
      <c r="O256" s="27">
        <v>649.61</v>
      </c>
      <c r="P256" s="27">
        <v>0.0</v>
      </c>
      <c r="Q256" s="27">
        <v>0.0</v>
      </c>
      <c r="R256" s="27">
        <v>0.0</v>
      </c>
      <c r="S256" s="27">
        <v>0.0</v>
      </c>
      <c r="T256" s="27">
        <v>0.0</v>
      </c>
      <c r="U256" s="27">
        <v>2055.96</v>
      </c>
      <c r="V256" s="27">
        <v>50.2</v>
      </c>
      <c r="W256" s="27">
        <v>5.95</v>
      </c>
      <c r="X256" s="27">
        <v>22.51</v>
      </c>
      <c r="Y256" s="27">
        <v>8.88</v>
      </c>
      <c r="Z256" s="27">
        <v>12.84</v>
      </c>
      <c r="AA256" s="27">
        <v>46.25</v>
      </c>
      <c r="AB256" s="27">
        <v>5.95</v>
      </c>
      <c r="AC256" s="27">
        <v>7.13</v>
      </c>
      <c r="AD256" s="27">
        <v>11.69</v>
      </c>
      <c r="AE256" s="27">
        <v>21.47</v>
      </c>
      <c r="AF256" s="27">
        <v>96.45</v>
      </c>
      <c r="AG256" s="27"/>
      <c r="AH256" s="27"/>
      <c r="AI256" s="27"/>
      <c r="AJ256" s="27"/>
    </row>
    <row r="257" ht="25.5" customHeight="1">
      <c r="A257" s="23">
        <v>254.0</v>
      </c>
      <c r="B257" s="24">
        <v>46204.0</v>
      </c>
      <c r="C257" s="26" t="s">
        <v>2</v>
      </c>
      <c r="D257" s="26" t="s">
        <v>346</v>
      </c>
      <c r="E257" s="23" t="s">
        <v>349</v>
      </c>
      <c r="F257" s="23" t="s">
        <v>881</v>
      </c>
      <c r="G257" s="26"/>
      <c r="H257" s="26" t="s">
        <v>70</v>
      </c>
      <c r="I257" s="23" t="s">
        <v>72</v>
      </c>
      <c r="J257" s="23" t="s">
        <v>74</v>
      </c>
      <c r="K257" s="27">
        <v>1843.73</v>
      </c>
      <c r="L257" s="27">
        <v>250.0</v>
      </c>
      <c r="M257" s="27">
        <v>539.41</v>
      </c>
      <c r="N257" s="27">
        <v>465.67</v>
      </c>
      <c r="O257" s="27">
        <v>588.64</v>
      </c>
      <c r="P257" s="27">
        <v>0.0</v>
      </c>
      <c r="Q257" s="27">
        <v>0.0</v>
      </c>
      <c r="R257" s="27">
        <v>0.0</v>
      </c>
      <c r="S257" s="27">
        <v>0.0</v>
      </c>
      <c r="T257" s="27">
        <v>0.0</v>
      </c>
      <c r="U257" s="27">
        <v>1843.73</v>
      </c>
      <c r="V257" s="27">
        <v>110.51</v>
      </c>
      <c r="W257" s="27">
        <v>14.63</v>
      </c>
      <c r="X257" s="27">
        <v>47.23</v>
      </c>
      <c r="Y257" s="27">
        <v>18.31</v>
      </c>
      <c r="Z257" s="27">
        <v>30.33</v>
      </c>
      <c r="AA257" s="27">
        <v>136.09</v>
      </c>
      <c r="AB257" s="27">
        <v>15.59</v>
      </c>
      <c r="AC257" s="27">
        <v>34.99</v>
      </c>
      <c r="AD257" s="27">
        <v>30.67</v>
      </c>
      <c r="AE257" s="27">
        <v>54.83</v>
      </c>
      <c r="AF257" s="27">
        <v>246.6</v>
      </c>
      <c r="AG257" s="27"/>
      <c r="AH257" s="27"/>
      <c r="AI257" s="27"/>
      <c r="AJ257" s="27"/>
    </row>
    <row r="258" ht="25.5" customHeight="1">
      <c r="A258" s="23">
        <v>255.0</v>
      </c>
      <c r="B258" s="24">
        <v>46204.0</v>
      </c>
      <c r="C258" s="26" t="s">
        <v>2</v>
      </c>
      <c r="D258" s="26" t="s">
        <v>882</v>
      </c>
      <c r="E258" s="23" t="s">
        <v>883</v>
      </c>
      <c r="F258" s="23" t="s">
        <v>884</v>
      </c>
      <c r="G258" s="26"/>
      <c r="H258" s="26" t="s">
        <v>70</v>
      </c>
      <c r="I258" s="23" t="s">
        <v>826</v>
      </c>
      <c r="J258" s="23" t="s">
        <v>74</v>
      </c>
      <c r="K258" s="27">
        <v>1022.16</v>
      </c>
      <c r="L258" s="27">
        <v>141.46</v>
      </c>
      <c r="M258" s="27">
        <v>293.5</v>
      </c>
      <c r="N258" s="27">
        <v>269.38</v>
      </c>
      <c r="O258" s="27">
        <v>317.8</v>
      </c>
      <c r="P258" s="27">
        <v>254.1</v>
      </c>
      <c r="Q258" s="27">
        <v>37.94</v>
      </c>
      <c r="R258" s="27">
        <v>68.67</v>
      </c>
      <c r="S258" s="27">
        <v>68.44</v>
      </c>
      <c r="T258" s="27">
        <v>79.03</v>
      </c>
      <c r="U258" s="27">
        <v>1276.26</v>
      </c>
      <c r="V258" s="27">
        <v>16.79</v>
      </c>
      <c r="W258" s="27">
        <v>2.24</v>
      </c>
      <c r="X258" s="27">
        <v>7.11</v>
      </c>
      <c r="Y258" s="27">
        <v>4.21</v>
      </c>
      <c r="Z258" s="27">
        <v>3.21</v>
      </c>
      <c r="AA258" s="27">
        <v>32.26</v>
      </c>
      <c r="AB258" s="27">
        <v>3.64</v>
      </c>
      <c r="AC258" s="27">
        <v>6.43</v>
      </c>
      <c r="AD258" s="27">
        <v>5.51</v>
      </c>
      <c r="AE258" s="27">
        <v>16.66</v>
      </c>
      <c r="AF258" s="27">
        <v>49.05</v>
      </c>
      <c r="AG258" s="27"/>
      <c r="AH258" s="27"/>
      <c r="AI258" s="27"/>
      <c r="AJ258" s="27"/>
    </row>
    <row r="259" ht="25.5" customHeight="1">
      <c r="A259" s="23">
        <v>256.0</v>
      </c>
      <c r="B259" s="24">
        <v>46204.0</v>
      </c>
      <c r="C259" s="26" t="s">
        <v>2</v>
      </c>
      <c r="D259" s="26" t="s">
        <v>507</v>
      </c>
      <c r="E259" s="23" t="s">
        <v>508</v>
      </c>
      <c r="F259" s="23" t="s">
        <v>885</v>
      </c>
      <c r="G259" s="26"/>
      <c r="H259" s="26" t="s">
        <v>70</v>
      </c>
      <c r="I259" s="23" t="s">
        <v>72</v>
      </c>
      <c r="J259" s="23" t="s">
        <v>74</v>
      </c>
      <c r="K259" s="27">
        <v>656.09</v>
      </c>
      <c r="L259" s="27">
        <v>78.81</v>
      </c>
      <c r="M259" s="27">
        <v>186.19</v>
      </c>
      <c r="N259" s="27">
        <v>181.98</v>
      </c>
      <c r="O259" s="27">
        <v>209.09</v>
      </c>
      <c r="P259" s="27">
        <v>0.0</v>
      </c>
      <c r="Q259" s="27">
        <v>0.0</v>
      </c>
      <c r="R259" s="27">
        <v>0.0</v>
      </c>
      <c r="S259" s="27">
        <v>0.0</v>
      </c>
      <c r="T259" s="27">
        <v>0.0</v>
      </c>
      <c r="U259" s="27">
        <v>656.09</v>
      </c>
      <c r="V259" s="27">
        <v>28.72</v>
      </c>
      <c r="W259" s="27">
        <v>3.54</v>
      </c>
      <c r="X259" s="27">
        <v>13.51</v>
      </c>
      <c r="Y259" s="27">
        <v>4.39</v>
      </c>
      <c r="Z259" s="27">
        <v>7.27</v>
      </c>
      <c r="AA259" s="27">
        <v>27.29</v>
      </c>
      <c r="AB259" s="27">
        <v>3.17</v>
      </c>
      <c r="AC259" s="27">
        <v>4.74</v>
      </c>
      <c r="AD259" s="27">
        <v>8.22</v>
      </c>
      <c r="AE259" s="27">
        <v>11.16</v>
      </c>
      <c r="AF259" s="27">
        <v>56.01</v>
      </c>
      <c r="AG259" s="27"/>
      <c r="AH259" s="27"/>
      <c r="AI259" s="27"/>
      <c r="AJ259" s="27"/>
    </row>
    <row r="260" ht="25.5" customHeight="1">
      <c r="A260" s="23">
        <v>257.0</v>
      </c>
      <c r="B260" s="24">
        <v>46204.0</v>
      </c>
      <c r="C260" s="26" t="s">
        <v>2</v>
      </c>
      <c r="D260" s="26" t="s">
        <v>526</v>
      </c>
      <c r="E260" s="23" t="s">
        <v>528</v>
      </c>
      <c r="F260" s="23" t="s">
        <v>886</v>
      </c>
      <c r="G260" s="26"/>
      <c r="H260" s="26" t="s">
        <v>70</v>
      </c>
      <c r="I260" s="23" t="s">
        <v>81</v>
      </c>
      <c r="J260" s="23" t="s">
        <v>74</v>
      </c>
      <c r="K260" s="27">
        <v>942.19</v>
      </c>
      <c r="L260" s="27">
        <v>134.62</v>
      </c>
      <c r="M260" s="27">
        <v>272.22</v>
      </c>
      <c r="N260" s="27">
        <v>259.91</v>
      </c>
      <c r="O260" s="27">
        <v>275.42</v>
      </c>
      <c r="P260" s="27">
        <v>0.43</v>
      </c>
      <c r="Q260" s="27">
        <v>0.05</v>
      </c>
      <c r="R260" s="27">
        <v>0.13</v>
      </c>
      <c r="S260" s="27">
        <v>0.09</v>
      </c>
      <c r="T260" s="27">
        <v>0.15</v>
      </c>
      <c r="U260" s="27">
        <v>942.62</v>
      </c>
      <c r="V260" s="27">
        <v>23.25</v>
      </c>
      <c r="W260" s="27">
        <v>2.82</v>
      </c>
      <c r="X260" s="27">
        <v>12.12</v>
      </c>
      <c r="Y260" s="27">
        <v>4.72</v>
      </c>
      <c r="Z260" s="27">
        <v>3.58</v>
      </c>
      <c r="AA260" s="27">
        <v>27.54</v>
      </c>
      <c r="AB260" s="27">
        <v>3.46</v>
      </c>
      <c r="AC260" s="27">
        <v>5.26</v>
      </c>
      <c r="AD260" s="27">
        <v>5.61</v>
      </c>
      <c r="AE260" s="27">
        <v>13.19</v>
      </c>
      <c r="AF260" s="27">
        <v>50.79</v>
      </c>
      <c r="AG260" s="27"/>
      <c r="AH260" s="27"/>
      <c r="AI260" s="27"/>
      <c r="AJ260" s="27"/>
    </row>
    <row r="261" ht="25.5" customHeight="1">
      <c r="A261" s="23">
        <v>258.0</v>
      </c>
      <c r="B261" s="24">
        <v>46204.0</v>
      </c>
      <c r="C261" s="26" t="s">
        <v>2</v>
      </c>
      <c r="D261" s="26" t="s">
        <v>251</v>
      </c>
      <c r="E261" s="23" t="s">
        <v>252</v>
      </c>
      <c r="F261" s="23" t="s">
        <v>887</v>
      </c>
      <c r="G261" s="26"/>
      <c r="H261" s="26" t="s">
        <v>70</v>
      </c>
      <c r="I261" s="23" t="s">
        <v>107</v>
      </c>
      <c r="J261" s="23" t="s">
        <v>74</v>
      </c>
      <c r="K261" s="27">
        <v>3532.83</v>
      </c>
      <c r="L261" s="27">
        <v>459.17</v>
      </c>
      <c r="M261" s="27">
        <v>1074.55</v>
      </c>
      <c r="N261" s="27">
        <v>871.38</v>
      </c>
      <c r="O261" s="27">
        <v>1127.71</v>
      </c>
      <c r="P261" s="27">
        <v>0.0</v>
      </c>
      <c r="Q261" s="27">
        <v>0.0</v>
      </c>
      <c r="R261" s="27">
        <v>0.0</v>
      </c>
      <c r="S261" s="27">
        <v>0.0</v>
      </c>
      <c r="T261" s="27">
        <v>0.0</v>
      </c>
      <c r="U261" s="27">
        <v>3532.83</v>
      </c>
      <c r="V261" s="27">
        <v>174.88</v>
      </c>
      <c r="W261" s="27">
        <v>24.01</v>
      </c>
      <c r="X261" s="27">
        <v>69.28</v>
      </c>
      <c r="Y261" s="27">
        <v>37.34</v>
      </c>
      <c r="Z261" s="27">
        <v>44.25</v>
      </c>
      <c r="AA261" s="27">
        <v>30.02</v>
      </c>
      <c r="AB261" s="27">
        <v>2.09</v>
      </c>
      <c r="AC261" s="27">
        <v>2.15</v>
      </c>
      <c r="AD261" s="27">
        <v>4.24</v>
      </c>
      <c r="AE261" s="27">
        <v>21.52</v>
      </c>
      <c r="AF261" s="27">
        <v>204.9</v>
      </c>
      <c r="AG261" s="27"/>
      <c r="AH261" s="27"/>
      <c r="AI261" s="27"/>
      <c r="AJ261" s="27"/>
    </row>
    <row r="262" ht="25.5" customHeight="1">
      <c r="A262" s="23">
        <v>259.0</v>
      </c>
      <c r="B262" s="24">
        <v>46204.0</v>
      </c>
      <c r="C262" s="26" t="s">
        <v>2</v>
      </c>
      <c r="D262" s="26" t="s">
        <v>245</v>
      </c>
      <c r="E262" s="23" t="s">
        <v>249</v>
      </c>
      <c r="F262" s="23" t="s">
        <v>888</v>
      </c>
      <c r="G262" s="26"/>
      <c r="H262" s="26" t="s">
        <v>70</v>
      </c>
      <c r="I262" s="23" t="s">
        <v>81</v>
      </c>
      <c r="J262" s="23" t="s">
        <v>74</v>
      </c>
      <c r="K262" s="27">
        <v>1099.3</v>
      </c>
      <c r="L262" s="27">
        <v>137.49</v>
      </c>
      <c r="M262" s="27">
        <v>340.53</v>
      </c>
      <c r="N262" s="27">
        <v>265.12</v>
      </c>
      <c r="O262" s="27">
        <v>356.14</v>
      </c>
      <c r="P262" s="27">
        <v>0.0</v>
      </c>
      <c r="Q262" s="27">
        <v>0.0</v>
      </c>
      <c r="R262" s="27">
        <v>0.0</v>
      </c>
      <c r="S262" s="27">
        <v>0.0</v>
      </c>
      <c r="T262" s="27">
        <v>0.0</v>
      </c>
      <c r="U262" s="27">
        <v>1099.3</v>
      </c>
      <c r="V262" s="27">
        <v>260.71</v>
      </c>
      <c r="W262" s="27">
        <v>28.57</v>
      </c>
      <c r="X262" s="27">
        <v>98.21</v>
      </c>
      <c r="Y262" s="27">
        <v>58.22</v>
      </c>
      <c r="Z262" s="27">
        <v>75.71</v>
      </c>
      <c r="AA262" s="27">
        <v>0.96</v>
      </c>
      <c r="AB262" s="27">
        <v>0.11</v>
      </c>
      <c r="AC262" s="27">
        <v>0.16</v>
      </c>
      <c r="AD262" s="27">
        <v>0.14</v>
      </c>
      <c r="AE262" s="27">
        <v>0.53</v>
      </c>
      <c r="AF262" s="27">
        <v>261.67</v>
      </c>
      <c r="AG262" s="27"/>
      <c r="AH262" s="27"/>
      <c r="AI262" s="27"/>
      <c r="AJ262" s="27"/>
    </row>
    <row r="263" ht="25.5" customHeight="1">
      <c r="A263" s="23">
        <v>260.0</v>
      </c>
      <c r="B263" s="24">
        <v>46204.0</v>
      </c>
      <c r="C263" s="26" t="s">
        <v>2</v>
      </c>
      <c r="D263" s="26" t="s">
        <v>889</v>
      </c>
      <c r="E263" s="23" t="s">
        <v>890</v>
      </c>
      <c r="F263" s="23" t="s">
        <v>891</v>
      </c>
      <c r="G263" s="26"/>
      <c r="H263" s="26" t="s">
        <v>70</v>
      </c>
      <c r="I263" s="23" t="s">
        <v>81</v>
      </c>
      <c r="J263" s="23" t="s">
        <v>74</v>
      </c>
      <c r="K263" s="27">
        <v>851.35</v>
      </c>
      <c r="L263" s="27">
        <v>114.83</v>
      </c>
      <c r="M263" s="27">
        <v>230.4</v>
      </c>
      <c r="N263" s="27">
        <v>217.64</v>
      </c>
      <c r="O263" s="27">
        <v>288.47</v>
      </c>
      <c r="P263" s="27">
        <v>0.0</v>
      </c>
      <c r="Q263" s="27">
        <v>0.0</v>
      </c>
      <c r="R263" s="27">
        <v>0.0</v>
      </c>
      <c r="S263" s="27">
        <v>0.0</v>
      </c>
      <c r="T263" s="27">
        <v>0.0</v>
      </c>
      <c r="U263" s="27">
        <v>851.35</v>
      </c>
      <c r="V263" s="27">
        <v>29.53</v>
      </c>
      <c r="W263" s="27">
        <v>3.85</v>
      </c>
      <c r="X263" s="27">
        <v>12.08</v>
      </c>
      <c r="Y263" s="27">
        <v>5.14</v>
      </c>
      <c r="Z263" s="27">
        <v>8.44</v>
      </c>
      <c r="AA263" s="27">
        <v>13.09</v>
      </c>
      <c r="AB263" s="27">
        <v>1.59</v>
      </c>
      <c r="AC263" s="27">
        <v>1.98</v>
      </c>
      <c r="AD263" s="27">
        <v>3.72</v>
      </c>
      <c r="AE263" s="27">
        <v>5.79</v>
      </c>
      <c r="AF263" s="27">
        <v>42.62</v>
      </c>
      <c r="AG263" s="27"/>
      <c r="AH263" s="27"/>
      <c r="AI263" s="27"/>
      <c r="AJ263" s="27"/>
    </row>
    <row r="264" ht="25.5" customHeight="1">
      <c r="A264" s="23">
        <v>261.0</v>
      </c>
      <c r="B264" s="24">
        <v>46204.0</v>
      </c>
      <c r="C264" s="26" t="s">
        <v>2</v>
      </c>
      <c r="D264" s="26" t="s">
        <v>892</v>
      </c>
      <c r="E264" s="23" t="s">
        <v>893</v>
      </c>
      <c r="F264" s="23" t="s">
        <v>894</v>
      </c>
      <c r="G264" s="26"/>
      <c r="H264" s="26" t="s">
        <v>70</v>
      </c>
      <c r="I264" s="23" t="s">
        <v>72</v>
      </c>
      <c r="J264" s="23" t="s">
        <v>74</v>
      </c>
      <c r="K264" s="27">
        <v>2824.73</v>
      </c>
      <c r="L264" s="27">
        <v>396.05</v>
      </c>
      <c r="M264" s="27">
        <v>893.08</v>
      </c>
      <c r="N264" s="27">
        <v>687.87</v>
      </c>
      <c r="O264" s="27">
        <v>847.72</v>
      </c>
      <c r="P264" s="27">
        <v>0.0</v>
      </c>
      <c r="Q264" s="27">
        <v>0.0</v>
      </c>
      <c r="R264" s="27">
        <v>0.0</v>
      </c>
      <c r="S264" s="27">
        <v>0.0</v>
      </c>
      <c r="T264" s="27">
        <v>0.0</v>
      </c>
      <c r="U264" s="27">
        <v>2824.73</v>
      </c>
      <c r="V264" s="27">
        <v>75.73</v>
      </c>
      <c r="W264" s="27">
        <v>10.96</v>
      </c>
      <c r="X264" s="27">
        <v>34.34</v>
      </c>
      <c r="Y264" s="27">
        <v>13.47</v>
      </c>
      <c r="Z264" s="27">
        <v>16.95</v>
      </c>
      <c r="AA264" s="27">
        <v>102.35</v>
      </c>
      <c r="AB264" s="27">
        <v>13.88</v>
      </c>
      <c r="AC264" s="27">
        <v>21.42</v>
      </c>
      <c r="AD264" s="27">
        <v>27.11</v>
      </c>
      <c r="AE264" s="27">
        <v>39.91</v>
      </c>
      <c r="AF264" s="27">
        <v>178.08</v>
      </c>
      <c r="AG264" s="27"/>
      <c r="AH264" s="27"/>
      <c r="AI264" s="27"/>
      <c r="AJ264" s="27"/>
    </row>
    <row r="265" ht="25.5" customHeight="1">
      <c r="A265" s="23">
        <v>262.0</v>
      </c>
      <c r="B265" s="24">
        <v>46204.0</v>
      </c>
      <c r="C265" s="26" t="s">
        <v>2</v>
      </c>
      <c r="D265" s="26" t="s">
        <v>214</v>
      </c>
      <c r="E265" s="23" t="s">
        <v>215</v>
      </c>
      <c r="F265" s="23" t="s">
        <v>895</v>
      </c>
      <c r="G265" s="26"/>
      <c r="H265" s="26" t="s">
        <v>70</v>
      </c>
      <c r="I265" s="23" t="s">
        <v>282</v>
      </c>
      <c r="J265" s="23" t="s">
        <v>74</v>
      </c>
      <c r="K265" s="27">
        <v>2048.67</v>
      </c>
      <c r="L265" s="27">
        <v>267.8</v>
      </c>
      <c r="M265" s="27">
        <v>651.79</v>
      </c>
      <c r="N265" s="27">
        <v>559.41</v>
      </c>
      <c r="O265" s="27">
        <v>569.65</v>
      </c>
      <c r="P265" s="27">
        <v>0.0</v>
      </c>
      <c r="Q265" s="27">
        <v>0.0</v>
      </c>
      <c r="R265" s="27">
        <v>0.0</v>
      </c>
      <c r="S265" s="27">
        <v>0.0</v>
      </c>
      <c r="T265" s="27">
        <v>0.0</v>
      </c>
      <c r="U265" s="27">
        <v>2048.67</v>
      </c>
      <c r="V265" s="27">
        <v>193.55</v>
      </c>
      <c r="W265" s="27">
        <v>24.8</v>
      </c>
      <c r="X265" s="27">
        <v>76.19</v>
      </c>
      <c r="Y265" s="27">
        <v>43.39</v>
      </c>
      <c r="Z265" s="27">
        <v>49.15</v>
      </c>
      <c r="AA265" s="27">
        <v>12.01</v>
      </c>
      <c r="AB265" s="27">
        <v>1.32</v>
      </c>
      <c r="AC265" s="27">
        <v>2.17</v>
      </c>
      <c r="AD265" s="27">
        <v>3.54</v>
      </c>
      <c r="AE265" s="27">
        <v>4.97</v>
      </c>
      <c r="AF265" s="27">
        <v>205.56</v>
      </c>
      <c r="AG265" s="27"/>
      <c r="AH265" s="27"/>
      <c r="AI265" s="27"/>
      <c r="AJ265" s="27"/>
    </row>
    <row r="266" ht="25.5" customHeight="1">
      <c r="A266" s="23">
        <v>263.0</v>
      </c>
      <c r="B266" s="24">
        <v>46204.0</v>
      </c>
      <c r="C266" s="26" t="s">
        <v>2</v>
      </c>
      <c r="D266" s="26" t="s">
        <v>896</v>
      </c>
      <c r="E266" s="23" t="s">
        <v>897</v>
      </c>
      <c r="F266" s="23" t="s">
        <v>898</v>
      </c>
      <c r="G266" s="26"/>
      <c r="H266" s="26" t="s">
        <v>70</v>
      </c>
      <c r="I266" s="23" t="s">
        <v>456</v>
      </c>
      <c r="J266" s="23" t="s">
        <v>74</v>
      </c>
      <c r="K266" s="27">
        <v>1402.51</v>
      </c>
      <c r="L266" s="27">
        <v>199.27</v>
      </c>
      <c r="M266" s="27">
        <v>426.65</v>
      </c>
      <c r="N266" s="27">
        <v>361.87</v>
      </c>
      <c r="O266" s="27">
        <v>414.7</v>
      </c>
      <c r="P266" s="27">
        <v>0.0</v>
      </c>
      <c r="Q266" s="27">
        <v>0.0</v>
      </c>
      <c r="R266" s="27">
        <v>0.0</v>
      </c>
      <c r="S266" s="27">
        <v>0.0</v>
      </c>
      <c r="T266" s="27">
        <v>0.0</v>
      </c>
      <c r="U266" s="27">
        <v>1402.51</v>
      </c>
      <c r="V266" s="27">
        <v>68.23</v>
      </c>
      <c r="W266" s="27">
        <v>8.73</v>
      </c>
      <c r="X266" s="27">
        <v>26.56</v>
      </c>
      <c r="Y266" s="27">
        <v>14.99</v>
      </c>
      <c r="Z266" s="27">
        <v>17.94</v>
      </c>
      <c r="AA266" s="27">
        <v>29.25</v>
      </c>
      <c r="AB266" s="27">
        <v>4.16</v>
      </c>
      <c r="AC266" s="27">
        <v>6.11</v>
      </c>
      <c r="AD266" s="27">
        <v>7.45</v>
      </c>
      <c r="AE266" s="27">
        <v>11.51</v>
      </c>
      <c r="AF266" s="27">
        <v>97.48</v>
      </c>
      <c r="AG266" s="27"/>
      <c r="AH266" s="27"/>
      <c r="AI266" s="27"/>
      <c r="AJ266" s="27"/>
    </row>
    <row r="267" ht="25.5" customHeight="1">
      <c r="A267" s="23">
        <v>264.0</v>
      </c>
      <c r="B267" s="24">
        <v>46204.0</v>
      </c>
      <c r="C267" s="26" t="s">
        <v>2</v>
      </c>
      <c r="D267" s="26" t="s">
        <v>899</v>
      </c>
      <c r="E267" s="23" t="s">
        <v>900</v>
      </c>
      <c r="F267" s="23" t="s">
        <v>901</v>
      </c>
      <c r="G267" s="26"/>
      <c r="H267" s="26" t="s">
        <v>70</v>
      </c>
      <c r="I267" s="23" t="s">
        <v>81</v>
      </c>
      <c r="J267" s="23" t="s">
        <v>74</v>
      </c>
      <c r="K267" s="27">
        <v>2807.84</v>
      </c>
      <c r="L267" s="27">
        <v>405.33</v>
      </c>
      <c r="M267" s="27">
        <v>914.07</v>
      </c>
      <c r="N267" s="27">
        <v>795.07</v>
      </c>
      <c r="O267" s="27">
        <v>693.35</v>
      </c>
      <c r="P267" s="27">
        <v>0.0</v>
      </c>
      <c r="Q267" s="27">
        <v>0.0</v>
      </c>
      <c r="R267" s="27">
        <v>0.0</v>
      </c>
      <c r="S267" s="27">
        <v>0.0</v>
      </c>
      <c r="T267" s="27">
        <v>0.0</v>
      </c>
      <c r="U267" s="27">
        <v>2807.84</v>
      </c>
      <c r="V267" s="27">
        <v>124.22</v>
      </c>
      <c r="W267" s="27">
        <v>15.72</v>
      </c>
      <c r="X267" s="27">
        <v>50.43</v>
      </c>
      <c r="Y267" s="27">
        <v>24.69</v>
      </c>
      <c r="Z267" s="27">
        <v>33.36</v>
      </c>
      <c r="AA267" s="27">
        <v>38.66</v>
      </c>
      <c r="AB267" s="27">
        <v>5.02</v>
      </c>
      <c r="AC267" s="27">
        <v>5.47</v>
      </c>
      <c r="AD267" s="27">
        <v>7.91</v>
      </c>
      <c r="AE267" s="27">
        <v>20.24</v>
      </c>
      <c r="AF267" s="27">
        <v>162.88</v>
      </c>
      <c r="AG267" s="27"/>
      <c r="AH267" s="27"/>
      <c r="AI267" s="27"/>
      <c r="AJ267" s="27"/>
    </row>
    <row r="268" ht="25.5" customHeight="1">
      <c r="A268" s="23">
        <v>265.0</v>
      </c>
      <c r="B268" s="24">
        <v>46204.0</v>
      </c>
      <c r="C268" s="26" t="s">
        <v>2</v>
      </c>
      <c r="D268" s="26" t="s">
        <v>902</v>
      </c>
      <c r="E268" s="23" t="s">
        <v>903</v>
      </c>
      <c r="F268" s="23" t="s">
        <v>904</v>
      </c>
      <c r="G268" s="26"/>
      <c r="H268" s="26" t="s">
        <v>70</v>
      </c>
      <c r="I268" s="23" t="s">
        <v>107</v>
      </c>
      <c r="J268" s="23" t="s">
        <v>74</v>
      </c>
      <c r="K268" s="27">
        <v>2308.16</v>
      </c>
      <c r="L268" s="27">
        <v>333.68</v>
      </c>
      <c r="M268" s="27">
        <v>747.99</v>
      </c>
      <c r="N268" s="27">
        <v>632.4</v>
      </c>
      <c r="O268" s="27">
        <v>594.07</v>
      </c>
      <c r="P268" s="27">
        <v>0.0</v>
      </c>
      <c r="Q268" s="27">
        <v>0.0</v>
      </c>
      <c r="R268" s="27">
        <v>0.0</v>
      </c>
      <c r="S268" s="27">
        <v>0.0</v>
      </c>
      <c r="T268" s="27">
        <v>0.0</v>
      </c>
      <c r="U268" s="27">
        <v>2308.16</v>
      </c>
      <c r="V268" s="27">
        <v>42.88</v>
      </c>
      <c r="W268" s="27">
        <v>6.38</v>
      </c>
      <c r="X268" s="27">
        <v>22.12</v>
      </c>
      <c r="Y268" s="27">
        <v>9.4</v>
      </c>
      <c r="Z268" s="27">
        <v>4.97</v>
      </c>
      <c r="AA268" s="27">
        <v>91.93</v>
      </c>
      <c r="AB268" s="27">
        <v>10.92</v>
      </c>
      <c r="AC268" s="27">
        <v>19.4</v>
      </c>
      <c r="AD268" s="27">
        <v>21.21</v>
      </c>
      <c r="AE268" s="27">
        <v>40.39</v>
      </c>
      <c r="AF268" s="27">
        <v>134.81</v>
      </c>
      <c r="AG268" s="27"/>
      <c r="AH268" s="27"/>
      <c r="AI268" s="27"/>
      <c r="AJ268" s="27"/>
    </row>
    <row r="269" ht="25.5" customHeight="1">
      <c r="A269" s="23">
        <v>266.0</v>
      </c>
      <c r="B269" s="24">
        <v>46204.0</v>
      </c>
      <c r="C269" s="26" t="s">
        <v>2</v>
      </c>
      <c r="D269" s="26" t="s">
        <v>905</v>
      </c>
      <c r="E269" s="23" t="s">
        <v>906</v>
      </c>
      <c r="F269" s="23" t="s">
        <v>907</v>
      </c>
      <c r="G269" s="26"/>
      <c r="H269" s="26" t="s">
        <v>70</v>
      </c>
      <c r="I269" s="23" t="s">
        <v>826</v>
      </c>
      <c r="J269" s="23" t="s">
        <v>74</v>
      </c>
      <c r="K269" s="27">
        <v>1947.83</v>
      </c>
      <c r="L269" s="27">
        <v>265.34</v>
      </c>
      <c r="M269" s="27">
        <v>611.2</v>
      </c>
      <c r="N269" s="27">
        <v>501.09</v>
      </c>
      <c r="O269" s="27">
        <v>570.17</v>
      </c>
      <c r="P269" s="27">
        <v>0.0</v>
      </c>
      <c r="Q269" s="27">
        <v>0.0</v>
      </c>
      <c r="R269" s="27">
        <v>0.0</v>
      </c>
      <c r="S269" s="27">
        <v>0.0</v>
      </c>
      <c r="T269" s="27">
        <v>0.0</v>
      </c>
      <c r="U269" s="27">
        <v>1947.83</v>
      </c>
      <c r="V269" s="27">
        <v>99.92</v>
      </c>
      <c r="W269" s="27">
        <v>10.76</v>
      </c>
      <c r="X269" s="27">
        <v>40.96</v>
      </c>
      <c r="Y269" s="27">
        <v>21.3</v>
      </c>
      <c r="Z269" s="27">
        <v>26.88</v>
      </c>
      <c r="AA269" s="27">
        <v>31.27</v>
      </c>
      <c r="AB269" s="27">
        <v>4.54</v>
      </c>
      <c r="AC269" s="27">
        <v>5.06</v>
      </c>
      <c r="AD269" s="27">
        <v>7.7</v>
      </c>
      <c r="AE269" s="27">
        <v>13.95</v>
      </c>
      <c r="AF269" s="27">
        <v>131.19</v>
      </c>
      <c r="AG269" s="27"/>
      <c r="AH269" s="27"/>
      <c r="AI269" s="27"/>
      <c r="AJ269" s="27"/>
    </row>
    <row r="270" ht="25.5" customHeight="1">
      <c r="A270" s="23">
        <v>267.0</v>
      </c>
      <c r="B270" s="24">
        <v>46204.0</v>
      </c>
      <c r="C270" s="26" t="s">
        <v>2</v>
      </c>
      <c r="D270" s="26" t="s">
        <v>908</v>
      </c>
      <c r="E270" s="23" t="s">
        <v>909</v>
      </c>
      <c r="F270" s="23" t="s">
        <v>910</v>
      </c>
      <c r="G270" s="26"/>
      <c r="H270" s="26" t="s">
        <v>70</v>
      </c>
      <c r="I270" s="23" t="s">
        <v>107</v>
      </c>
      <c r="J270" s="23" t="s">
        <v>74</v>
      </c>
      <c r="K270" s="27">
        <v>3716.43</v>
      </c>
      <c r="L270" s="27">
        <v>507.0</v>
      </c>
      <c r="M270" s="27">
        <v>1106.1</v>
      </c>
      <c r="N270" s="27">
        <v>1001.33</v>
      </c>
      <c r="O270" s="27">
        <v>1101.99</v>
      </c>
      <c r="P270" s="27">
        <v>0.0</v>
      </c>
      <c r="Q270" s="27">
        <v>0.0</v>
      </c>
      <c r="R270" s="27">
        <v>0.0</v>
      </c>
      <c r="S270" s="27">
        <v>0.0</v>
      </c>
      <c r="T270" s="27">
        <v>0.0</v>
      </c>
      <c r="U270" s="27">
        <v>3716.43</v>
      </c>
      <c r="V270" s="27">
        <v>53.47</v>
      </c>
      <c r="W270" s="27">
        <v>9.1</v>
      </c>
      <c r="X270" s="27">
        <v>24.35</v>
      </c>
      <c r="Y270" s="27">
        <v>10.25</v>
      </c>
      <c r="Z270" s="27">
        <v>9.76</v>
      </c>
      <c r="AA270" s="27">
        <v>126.58</v>
      </c>
      <c r="AB270" s="27">
        <v>14.1</v>
      </c>
      <c r="AC270" s="27">
        <v>27.32</v>
      </c>
      <c r="AD270" s="27">
        <v>29.94</v>
      </c>
      <c r="AE270" s="27">
        <v>55.21</v>
      </c>
      <c r="AF270" s="27">
        <v>180.05</v>
      </c>
      <c r="AG270" s="27"/>
      <c r="AH270" s="27"/>
      <c r="AI270" s="27"/>
      <c r="AJ270" s="27"/>
    </row>
    <row r="271" ht="25.5" customHeight="1">
      <c r="A271" s="23">
        <v>268.0</v>
      </c>
      <c r="B271" s="24">
        <v>46204.0</v>
      </c>
      <c r="C271" s="26" t="s">
        <v>2</v>
      </c>
      <c r="D271" s="26" t="s">
        <v>911</v>
      </c>
      <c r="E271" s="23" t="s">
        <v>912</v>
      </c>
      <c r="F271" s="23" t="s">
        <v>913</v>
      </c>
      <c r="G271" s="26"/>
      <c r="H271" s="26" t="s">
        <v>70</v>
      </c>
      <c r="I271" s="23" t="s">
        <v>107</v>
      </c>
      <c r="J271" s="23" t="s">
        <v>74</v>
      </c>
      <c r="K271" s="27">
        <v>6000.49</v>
      </c>
      <c r="L271" s="27">
        <v>795.18</v>
      </c>
      <c r="M271" s="27">
        <v>1789.11</v>
      </c>
      <c r="N271" s="27">
        <v>1600.74</v>
      </c>
      <c r="O271" s="27">
        <v>1815.44</v>
      </c>
      <c r="P271" s="27">
        <v>0.0</v>
      </c>
      <c r="Q271" s="27">
        <v>0.0</v>
      </c>
      <c r="R271" s="27">
        <v>0.0</v>
      </c>
      <c r="S271" s="27">
        <v>0.0</v>
      </c>
      <c r="T271" s="27">
        <v>0.0</v>
      </c>
      <c r="U271" s="27">
        <v>6000.49</v>
      </c>
      <c r="V271" s="27">
        <v>279.21</v>
      </c>
      <c r="W271" s="27">
        <v>28.23</v>
      </c>
      <c r="X271" s="27">
        <v>98.68</v>
      </c>
      <c r="Y271" s="27">
        <v>58.15</v>
      </c>
      <c r="Z271" s="27">
        <v>94.14</v>
      </c>
      <c r="AA271" s="27">
        <v>228.89</v>
      </c>
      <c r="AB271" s="27">
        <v>32.47</v>
      </c>
      <c r="AC271" s="27">
        <v>52.62</v>
      </c>
      <c r="AD271" s="27">
        <v>52.94</v>
      </c>
      <c r="AE271" s="27">
        <v>90.83</v>
      </c>
      <c r="AF271" s="27">
        <v>508.1</v>
      </c>
      <c r="AG271" s="27"/>
      <c r="AH271" s="27"/>
      <c r="AI271" s="27"/>
      <c r="AJ271" s="27"/>
    </row>
    <row r="272" ht="25.5" customHeight="1">
      <c r="A272" s="23">
        <v>269.0</v>
      </c>
      <c r="B272" s="24">
        <v>46204.0</v>
      </c>
      <c r="C272" s="26" t="s">
        <v>2</v>
      </c>
      <c r="D272" s="26" t="s">
        <v>512</v>
      </c>
      <c r="E272" s="23" t="s">
        <v>516</v>
      </c>
      <c r="F272" s="23" t="s">
        <v>914</v>
      </c>
      <c r="G272" s="26"/>
      <c r="H272" s="26" t="s">
        <v>70</v>
      </c>
      <c r="I272" s="23" t="s">
        <v>72</v>
      </c>
      <c r="J272" s="23" t="s">
        <v>74</v>
      </c>
      <c r="K272" s="27">
        <v>3444.95</v>
      </c>
      <c r="L272" s="27">
        <v>448.93</v>
      </c>
      <c r="M272" s="27">
        <v>959.84</v>
      </c>
      <c r="N272" s="27">
        <v>884.7</v>
      </c>
      <c r="O272" s="27">
        <v>1151.46</v>
      </c>
      <c r="P272" s="27">
        <v>0.0</v>
      </c>
      <c r="Q272" s="27">
        <v>0.0</v>
      </c>
      <c r="R272" s="27">
        <v>0.0</v>
      </c>
      <c r="S272" s="27">
        <v>0.0</v>
      </c>
      <c r="T272" s="27">
        <v>0.0</v>
      </c>
      <c r="U272" s="27">
        <v>3444.95</v>
      </c>
      <c r="V272" s="27">
        <v>97.0</v>
      </c>
      <c r="W272" s="27">
        <v>12.3</v>
      </c>
      <c r="X272" s="27">
        <v>43.1</v>
      </c>
      <c r="Y272" s="27">
        <v>18.57</v>
      </c>
      <c r="Z272" s="27">
        <v>23.01</v>
      </c>
      <c r="AA272" s="27">
        <v>124.24</v>
      </c>
      <c r="AB272" s="27">
        <v>14.42</v>
      </c>
      <c r="AC272" s="27">
        <v>27.3</v>
      </c>
      <c r="AD272" s="27">
        <v>28.43</v>
      </c>
      <c r="AE272" s="27">
        <v>54.08</v>
      </c>
      <c r="AF272" s="27">
        <v>221.24</v>
      </c>
      <c r="AG272" s="27"/>
      <c r="AH272" s="27"/>
      <c r="AI272" s="27"/>
      <c r="AJ272" s="27"/>
    </row>
    <row r="273" ht="25.5" customHeight="1">
      <c r="A273" s="23">
        <v>270.0</v>
      </c>
      <c r="B273" s="24">
        <v>46204.0</v>
      </c>
      <c r="C273" s="26" t="s">
        <v>2</v>
      </c>
      <c r="D273" s="26" t="s">
        <v>263</v>
      </c>
      <c r="E273" s="23" t="s">
        <v>264</v>
      </c>
      <c r="F273" s="23" t="s">
        <v>915</v>
      </c>
      <c r="G273" s="26"/>
      <c r="H273" s="26" t="s">
        <v>70</v>
      </c>
      <c r="I273" s="23" t="s">
        <v>456</v>
      </c>
      <c r="J273" s="23" t="s">
        <v>74</v>
      </c>
      <c r="K273" s="27">
        <v>4574.02</v>
      </c>
      <c r="L273" s="27">
        <v>511.04</v>
      </c>
      <c r="M273" s="27">
        <v>1728.18</v>
      </c>
      <c r="N273" s="27">
        <v>1127.78</v>
      </c>
      <c r="O273" s="27">
        <v>1207.01</v>
      </c>
      <c r="P273" s="27">
        <v>0.0</v>
      </c>
      <c r="Q273" s="27">
        <v>0.0</v>
      </c>
      <c r="R273" s="27">
        <v>0.0</v>
      </c>
      <c r="S273" s="27">
        <v>0.0</v>
      </c>
      <c r="T273" s="27">
        <v>0.0</v>
      </c>
      <c r="U273" s="27">
        <v>4574.02</v>
      </c>
      <c r="V273" s="27">
        <v>916.66</v>
      </c>
      <c r="W273" s="27">
        <v>99.94</v>
      </c>
      <c r="X273" s="27">
        <v>343.74</v>
      </c>
      <c r="Y273" s="27">
        <v>189.74</v>
      </c>
      <c r="Z273" s="27">
        <v>283.23</v>
      </c>
      <c r="AA273" s="27">
        <v>6.09</v>
      </c>
      <c r="AB273" s="27">
        <v>0.89</v>
      </c>
      <c r="AC273" s="27">
        <v>1.17</v>
      </c>
      <c r="AD273" s="27">
        <v>1.83</v>
      </c>
      <c r="AE273" s="27">
        <v>2.18</v>
      </c>
      <c r="AF273" s="27">
        <v>922.75</v>
      </c>
      <c r="AG273" s="27"/>
      <c r="AH273" s="27"/>
      <c r="AI273" s="27"/>
      <c r="AJ273" s="27"/>
    </row>
    <row r="274" ht="25.5" customHeight="1">
      <c r="A274" s="23">
        <v>271.0</v>
      </c>
      <c r="B274" s="24">
        <v>46204.0</v>
      </c>
      <c r="C274" s="26" t="s">
        <v>2</v>
      </c>
      <c r="D274" s="26" t="s">
        <v>461</v>
      </c>
      <c r="E274" s="23" t="s">
        <v>462</v>
      </c>
      <c r="F274" s="23" t="s">
        <v>916</v>
      </c>
      <c r="G274" s="26"/>
      <c r="H274" s="26" t="s">
        <v>70</v>
      </c>
      <c r="I274" s="23" t="s">
        <v>81</v>
      </c>
      <c r="J274" s="23" t="s">
        <v>74</v>
      </c>
      <c r="K274" s="27">
        <v>5177.53</v>
      </c>
      <c r="L274" s="27">
        <v>564.92</v>
      </c>
      <c r="M274" s="27">
        <v>2111.62</v>
      </c>
      <c r="N274" s="27">
        <v>1207.03</v>
      </c>
      <c r="O274" s="27">
        <v>1293.95</v>
      </c>
      <c r="P274" s="27">
        <v>156.07</v>
      </c>
      <c r="Q274" s="27">
        <v>15.72</v>
      </c>
      <c r="R274" s="27">
        <v>61.98</v>
      </c>
      <c r="S274" s="27">
        <v>35.42</v>
      </c>
      <c r="T274" s="27">
        <v>42.93</v>
      </c>
      <c r="U274" s="27">
        <v>5333.6</v>
      </c>
      <c r="V274" s="27">
        <v>1101.7</v>
      </c>
      <c r="W274" s="27">
        <v>121.16</v>
      </c>
      <c r="X274" s="27">
        <v>389.82</v>
      </c>
      <c r="Y274" s="27">
        <v>259.61</v>
      </c>
      <c r="Z274" s="27">
        <v>331.1</v>
      </c>
      <c r="AA274" s="27">
        <v>1.13</v>
      </c>
      <c r="AB274" s="27">
        <v>0.36</v>
      </c>
      <c r="AC274" s="27">
        <v>0.16</v>
      </c>
      <c r="AD274" s="27">
        <v>0.04</v>
      </c>
      <c r="AE274" s="27">
        <v>0.55</v>
      </c>
      <c r="AF274" s="27">
        <v>1102.83</v>
      </c>
      <c r="AG274" s="27"/>
      <c r="AH274" s="27"/>
      <c r="AI274" s="27"/>
      <c r="AJ274" s="27"/>
    </row>
    <row r="275" ht="25.5" customHeight="1">
      <c r="A275" s="23">
        <v>272.0</v>
      </c>
      <c r="B275" s="24">
        <v>46204.0</v>
      </c>
      <c r="C275" s="26" t="s">
        <v>2</v>
      </c>
      <c r="D275" s="26" t="s">
        <v>454</v>
      </c>
      <c r="E275" s="23" t="s">
        <v>457</v>
      </c>
      <c r="F275" s="23" t="s">
        <v>917</v>
      </c>
      <c r="G275" s="26"/>
      <c r="H275" s="26" t="s">
        <v>70</v>
      </c>
      <c r="I275" s="23" t="s">
        <v>72</v>
      </c>
      <c r="J275" s="23" t="s">
        <v>74</v>
      </c>
      <c r="K275" s="27">
        <v>3686.84</v>
      </c>
      <c r="L275" s="27">
        <v>502.47</v>
      </c>
      <c r="M275" s="27">
        <v>1046.96</v>
      </c>
      <c r="N275" s="27">
        <v>995.03</v>
      </c>
      <c r="O275" s="27">
        <v>1142.37</v>
      </c>
      <c r="P275" s="27">
        <v>7.05</v>
      </c>
      <c r="Q275" s="27">
        <v>0.11</v>
      </c>
      <c r="R275" s="27">
        <v>6.94</v>
      </c>
      <c r="S275" s="27">
        <v>0.0</v>
      </c>
      <c r="T275" s="27">
        <v>0.0</v>
      </c>
      <c r="U275" s="27">
        <v>3693.89</v>
      </c>
      <c r="V275" s="27">
        <v>194.59</v>
      </c>
      <c r="W275" s="27">
        <v>22.55</v>
      </c>
      <c r="X275" s="27">
        <v>79.05</v>
      </c>
      <c r="Y275" s="27">
        <v>37.82</v>
      </c>
      <c r="Z275" s="27">
        <v>55.15</v>
      </c>
      <c r="AA275" s="27">
        <v>26.98</v>
      </c>
      <c r="AB275" s="27">
        <v>3.62</v>
      </c>
      <c r="AC275" s="27">
        <v>2.97</v>
      </c>
      <c r="AD275" s="27">
        <v>6.62</v>
      </c>
      <c r="AE275" s="27">
        <v>13.76</v>
      </c>
      <c r="AF275" s="27">
        <v>221.57</v>
      </c>
      <c r="AG275" s="27"/>
      <c r="AH275" s="27"/>
      <c r="AI275" s="27"/>
      <c r="AJ275" s="27"/>
    </row>
    <row r="276" ht="25.5" customHeight="1">
      <c r="A276" s="23">
        <v>273.0</v>
      </c>
      <c r="B276" s="24">
        <v>46204.0</v>
      </c>
      <c r="C276" s="26" t="s">
        <v>2</v>
      </c>
      <c r="D276" s="26" t="s">
        <v>293</v>
      </c>
      <c r="E276" s="23" t="s">
        <v>294</v>
      </c>
      <c r="F276" s="23" t="s">
        <v>918</v>
      </c>
      <c r="G276" s="26"/>
      <c r="H276" s="26" t="s">
        <v>70</v>
      </c>
      <c r="I276" s="23" t="s">
        <v>81</v>
      </c>
      <c r="J276" s="23" t="s">
        <v>74</v>
      </c>
      <c r="K276" s="27">
        <v>3104.84</v>
      </c>
      <c r="L276" s="27">
        <v>428.93</v>
      </c>
      <c r="M276" s="27">
        <v>859.27</v>
      </c>
      <c r="N276" s="27">
        <v>782.47</v>
      </c>
      <c r="O276" s="27">
        <v>1034.15</v>
      </c>
      <c r="P276" s="27">
        <v>1599.89</v>
      </c>
      <c r="Q276" s="27">
        <v>211.93</v>
      </c>
      <c r="R276" s="27">
        <v>460.47</v>
      </c>
      <c r="S276" s="27">
        <v>378.47</v>
      </c>
      <c r="T276" s="27">
        <v>549.01</v>
      </c>
      <c r="U276" s="27">
        <v>4704.73</v>
      </c>
      <c r="V276" s="27">
        <v>209.61</v>
      </c>
      <c r="W276" s="27">
        <v>43.13</v>
      </c>
      <c r="X276" s="27">
        <v>67.94</v>
      </c>
      <c r="Y276" s="27">
        <v>50.72</v>
      </c>
      <c r="Z276" s="27">
        <v>47.8</v>
      </c>
      <c r="AA276" s="27">
        <v>102.73</v>
      </c>
      <c r="AB276" s="27">
        <v>8.08</v>
      </c>
      <c r="AC276" s="27">
        <v>25.88</v>
      </c>
      <c r="AD276" s="27">
        <v>23.16</v>
      </c>
      <c r="AE276" s="27">
        <v>45.59</v>
      </c>
      <c r="AF276" s="27">
        <v>312.34</v>
      </c>
      <c r="AG276" s="27"/>
      <c r="AH276" s="27"/>
      <c r="AI276" s="27"/>
      <c r="AJ276" s="27"/>
    </row>
    <row r="277" ht="25.5" customHeight="1">
      <c r="A277" s="23">
        <v>274.0</v>
      </c>
      <c r="B277" s="24">
        <v>46204.0</v>
      </c>
      <c r="C277" s="26" t="s">
        <v>2</v>
      </c>
      <c r="D277" s="26" t="s">
        <v>216</v>
      </c>
      <c r="E277" s="23" t="s">
        <v>217</v>
      </c>
      <c r="F277" s="23" t="s">
        <v>919</v>
      </c>
      <c r="G277" s="26"/>
      <c r="H277" s="26" t="s">
        <v>70</v>
      </c>
      <c r="I277" s="23" t="s">
        <v>306</v>
      </c>
      <c r="J277" s="23" t="s">
        <v>74</v>
      </c>
      <c r="K277" s="27">
        <v>1673.2</v>
      </c>
      <c r="L277" s="27">
        <v>211.54</v>
      </c>
      <c r="M277" s="27">
        <v>536.18</v>
      </c>
      <c r="N277" s="27">
        <v>410.47</v>
      </c>
      <c r="O277" s="27">
        <v>514.98</v>
      </c>
      <c r="P277" s="27">
        <v>0.02</v>
      </c>
      <c r="Q277" s="27">
        <v>0.0</v>
      </c>
      <c r="R277" s="27">
        <v>0.02</v>
      </c>
      <c r="S277" s="27">
        <v>0.0</v>
      </c>
      <c r="T277" s="27">
        <v>0.0</v>
      </c>
      <c r="U277" s="27">
        <v>1673.22</v>
      </c>
      <c r="V277" s="27">
        <v>777.21</v>
      </c>
      <c r="W277" s="27">
        <v>102.84</v>
      </c>
      <c r="X277" s="27">
        <v>277.81</v>
      </c>
      <c r="Y277" s="27">
        <v>156.67</v>
      </c>
      <c r="Z277" s="27">
        <v>239.88</v>
      </c>
      <c r="AA277" s="27">
        <v>4.19</v>
      </c>
      <c r="AB277" s="27">
        <v>0.1</v>
      </c>
      <c r="AC277" s="27">
        <v>0.11</v>
      </c>
      <c r="AD277" s="27">
        <v>1.31</v>
      </c>
      <c r="AE277" s="27">
        <v>2.65</v>
      </c>
      <c r="AF277" s="27">
        <v>781.4</v>
      </c>
      <c r="AG277" s="27"/>
      <c r="AH277" s="27"/>
      <c r="AI277" s="27"/>
      <c r="AJ277" s="27"/>
    </row>
    <row r="278" ht="25.5" customHeight="1">
      <c r="A278" s="23">
        <v>275.0</v>
      </c>
      <c r="B278" s="24">
        <v>46204.0</v>
      </c>
      <c r="C278" s="26" t="s">
        <v>2</v>
      </c>
      <c r="D278" s="26" t="s">
        <v>153</v>
      </c>
      <c r="E278" s="23" t="s">
        <v>154</v>
      </c>
      <c r="F278" s="23" t="s">
        <v>920</v>
      </c>
      <c r="G278" s="26"/>
      <c r="H278" s="26" t="s">
        <v>70</v>
      </c>
      <c r="I278" s="23" t="s">
        <v>107</v>
      </c>
      <c r="J278" s="23" t="s">
        <v>74</v>
      </c>
      <c r="K278" s="27">
        <v>2741.71</v>
      </c>
      <c r="L278" s="27">
        <v>378.07</v>
      </c>
      <c r="M278" s="27">
        <v>889.67</v>
      </c>
      <c r="N278" s="27">
        <v>736.63</v>
      </c>
      <c r="O278" s="27">
        <v>737.34</v>
      </c>
      <c r="P278" s="27">
        <v>0.0</v>
      </c>
      <c r="Q278" s="27">
        <v>0.0</v>
      </c>
      <c r="R278" s="27">
        <v>0.0</v>
      </c>
      <c r="S278" s="27">
        <v>0.0</v>
      </c>
      <c r="T278" s="27">
        <v>0.0</v>
      </c>
      <c r="U278" s="27">
        <v>2741.71</v>
      </c>
      <c r="V278" s="27">
        <v>164.5</v>
      </c>
      <c r="W278" s="27">
        <v>22.44</v>
      </c>
      <c r="X278" s="27">
        <v>63.52</v>
      </c>
      <c r="Y278" s="27">
        <v>33.46</v>
      </c>
      <c r="Z278" s="27">
        <v>45.07</v>
      </c>
      <c r="AA278" s="27">
        <v>15.36</v>
      </c>
      <c r="AB278" s="27">
        <v>1.85</v>
      </c>
      <c r="AC278" s="27">
        <v>2.23</v>
      </c>
      <c r="AD278" s="27">
        <v>3.95</v>
      </c>
      <c r="AE278" s="27">
        <v>7.33</v>
      </c>
      <c r="AF278" s="27">
        <v>179.86</v>
      </c>
      <c r="AG278" s="27"/>
      <c r="AH278" s="27"/>
      <c r="AI278" s="27"/>
      <c r="AJ278" s="27"/>
    </row>
    <row r="279" ht="25.5" customHeight="1">
      <c r="A279" s="23">
        <v>276.0</v>
      </c>
      <c r="B279" s="24">
        <v>46204.0</v>
      </c>
      <c r="C279" s="26" t="s">
        <v>2</v>
      </c>
      <c r="D279" s="26" t="s">
        <v>556</v>
      </c>
      <c r="E279" s="23" t="s">
        <v>557</v>
      </c>
      <c r="F279" s="23" t="s">
        <v>921</v>
      </c>
      <c r="G279" s="26"/>
      <c r="H279" s="26" t="s">
        <v>70</v>
      </c>
      <c r="I279" s="23" t="s">
        <v>72</v>
      </c>
      <c r="J279" s="23" t="s">
        <v>74</v>
      </c>
      <c r="K279" s="27">
        <v>195.47</v>
      </c>
      <c r="L279" s="27">
        <v>25.26</v>
      </c>
      <c r="M279" s="27">
        <v>56.68</v>
      </c>
      <c r="N279" s="27">
        <v>60.2</v>
      </c>
      <c r="O279" s="27">
        <v>53.31</v>
      </c>
      <c r="P279" s="27">
        <v>163.91</v>
      </c>
      <c r="Q279" s="27">
        <v>20.29</v>
      </c>
      <c r="R279" s="27">
        <v>41.57</v>
      </c>
      <c r="S279" s="27">
        <v>42.64</v>
      </c>
      <c r="T279" s="27">
        <v>59.4</v>
      </c>
      <c r="U279" s="27">
        <v>359.38</v>
      </c>
      <c r="V279" s="27">
        <v>133.16</v>
      </c>
      <c r="W279" s="27">
        <v>16.43</v>
      </c>
      <c r="X279" s="27">
        <v>45.22</v>
      </c>
      <c r="Y279" s="27">
        <v>34.46</v>
      </c>
      <c r="Z279" s="27">
        <v>37.04</v>
      </c>
      <c r="AA279" s="27">
        <v>169.78</v>
      </c>
      <c r="AB279" s="27">
        <v>21.07</v>
      </c>
      <c r="AC279" s="27">
        <v>31.76</v>
      </c>
      <c r="AD279" s="27">
        <v>46.98</v>
      </c>
      <c r="AE279" s="27">
        <v>69.96</v>
      </c>
      <c r="AF279" s="27">
        <v>302.94</v>
      </c>
      <c r="AG279" s="27"/>
      <c r="AH279" s="27"/>
      <c r="AI279" s="27"/>
      <c r="AJ279" s="27"/>
    </row>
    <row r="280" ht="25.5" customHeight="1">
      <c r="A280" s="23">
        <v>277.0</v>
      </c>
      <c r="B280" s="24">
        <v>46204.0</v>
      </c>
      <c r="C280" s="26" t="s">
        <v>2</v>
      </c>
      <c r="D280" s="26" t="s">
        <v>475</v>
      </c>
      <c r="E280" s="23" t="s">
        <v>476</v>
      </c>
      <c r="F280" s="23" t="s">
        <v>922</v>
      </c>
      <c r="G280" s="26"/>
      <c r="H280" s="26" t="s">
        <v>70</v>
      </c>
      <c r="I280" s="23" t="s">
        <v>72</v>
      </c>
      <c r="J280" s="23" t="s">
        <v>74</v>
      </c>
      <c r="K280" s="27">
        <v>6464.16</v>
      </c>
      <c r="L280" s="27">
        <v>821.38</v>
      </c>
      <c r="M280" s="27">
        <v>1912.38</v>
      </c>
      <c r="N280" s="27">
        <v>1562.4</v>
      </c>
      <c r="O280" s="27">
        <v>2167.99</v>
      </c>
      <c r="P280" s="27">
        <v>97.38</v>
      </c>
      <c r="Q280" s="27">
        <v>6.36</v>
      </c>
      <c r="R280" s="27">
        <v>90.78</v>
      </c>
      <c r="S280" s="27">
        <v>0.23</v>
      </c>
      <c r="T280" s="27">
        <v>0.0</v>
      </c>
      <c r="U280" s="27">
        <v>6561.54</v>
      </c>
      <c r="V280" s="27">
        <v>180.27</v>
      </c>
      <c r="W280" s="27">
        <v>25.24</v>
      </c>
      <c r="X280" s="27">
        <v>82.48</v>
      </c>
      <c r="Y280" s="27">
        <v>34.5</v>
      </c>
      <c r="Z280" s="27">
        <v>38.04</v>
      </c>
      <c r="AA280" s="27">
        <v>34.46</v>
      </c>
      <c r="AB280" s="27">
        <v>2.74</v>
      </c>
      <c r="AC280" s="27">
        <v>1.71</v>
      </c>
      <c r="AD280" s="27">
        <v>8.83</v>
      </c>
      <c r="AE280" s="27">
        <v>21.17</v>
      </c>
      <c r="AF280" s="27">
        <v>214.73</v>
      </c>
      <c r="AG280" s="27"/>
      <c r="AH280" s="27"/>
      <c r="AI280" s="27"/>
      <c r="AJ280" s="27"/>
    </row>
    <row r="281" ht="25.5" customHeight="1">
      <c r="A281" s="23">
        <v>278.0</v>
      </c>
      <c r="B281" s="24">
        <v>46204.0</v>
      </c>
      <c r="C281" s="26" t="s">
        <v>2</v>
      </c>
      <c r="D281" s="26" t="s">
        <v>495</v>
      </c>
      <c r="E281" s="23" t="s">
        <v>496</v>
      </c>
      <c r="F281" s="23" t="s">
        <v>923</v>
      </c>
      <c r="G281" s="26"/>
      <c r="H281" s="26" t="s">
        <v>70</v>
      </c>
      <c r="I281" s="23" t="s">
        <v>107</v>
      </c>
      <c r="J281" s="23" t="s">
        <v>74</v>
      </c>
      <c r="K281" s="27">
        <v>3054.51</v>
      </c>
      <c r="L281" s="27">
        <v>419.07</v>
      </c>
      <c r="M281" s="27">
        <v>896.15</v>
      </c>
      <c r="N281" s="27">
        <v>762.92</v>
      </c>
      <c r="O281" s="27">
        <v>976.36</v>
      </c>
      <c r="P281" s="27">
        <v>0.0</v>
      </c>
      <c r="Q281" s="27">
        <v>0.0</v>
      </c>
      <c r="R281" s="27">
        <v>0.0</v>
      </c>
      <c r="S281" s="27">
        <v>0.0</v>
      </c>
      <c r="T281" s="27">
        <v>0.0</v>
      </c>
      <c r="U281" s="27">
        <v>3054.51</v>
      </c>
      <c r="V281" s="27">
        <v>20.57</v>
      </c>
      <c r="W281" s="27">
        <v>2.57</v>
      </c>
      <c r="X281" s="27">
        <v>11.42</v>
      </c>
      <c r="Y281" s="27">
        <v>3.67</v>
      </c>
      <c r="Z281" s="27">
        <v>2.89</v>
      </c>
      <c r="AA281" s="27">
        <v>177.28</v>
      </c>
      <c r="AB281" s="27">
        <v>23.22</v>
      </c>
      <c r="AC281" s="27">
        <v>41.9</v>
      </c>
      <c r="AD281" s="27">
        <v>42.72</v>
      </c>
      <c r="AE281" s="27">
        <v>69.42</v>
      </c>
      <c r="AF281" s="27">
        <v>197.85</v>
      </c>
      <c r="AG281" s="27"/>
      <c r="AH281" s="27"/>
      <c r="AI281" s="27"/>
      <c r="AJ281" s="27"/>
    </row>
    <row r="282" ht="25.5" customHeight="1">
      <c r="A282" s="23">
        <v>279.0</v>
      </c>
      <c r="B282" s="24">
        <v>46204.0</v>
      </c>
      <c r="C282" s="26" t="s">
        <v>2</v>
      </c>
      <c r="D282" s="26" t="s">
        <v>482</v>
      </c>
      <c r="E282" s="23" t="s">
        <v>483</v>
      </c>
      <c r="F282" s="23" t="s">
        <v>924</v>
      </c>
      <c r="G282" s="26"/>
      <c r="H282" s="26" t="s">
        <v>70</v>
      </c>
      <c r="I282" s="23" t="s">
        <v>107</v>
      </c>
      <c r="J282" s="23" t="s">
        <v>74</v>
      </c>
      <c r="K282" s="27">
        <v>4357.76</v>
      </c>
      <c r="L282" s="27">
        <v>593.52</v>
      </c>
      <c r="M282" s="27">
        <v>1338.49</v>
      </c>
      <c r="N282" s="27">
        <v>1043.32</v>
      </c>
      <c r="O282" s="27">
        <v>1382.4</v>
      </c>
      <c r="P282" s="27">
        <v>0.0</v>
      </c>
      <c r="Q282" s="27">
        <v>0.0</v>
      </c>
      <c r="R282" s="27">
        <v>0.0</v>
      </c>
      <c r="S282" s="27">
        <v>0.0</v>
      </c>
      <c r="T282" s="27">
        <v>0.0</v>
      </c>
      <c r="U282" s="27">
        <v>4357.76</v>
      </c>
      <c r="V282" s="27">
        <v>160.54</v>
      </c>
      <c r="W282" s="27">
        <v>19.4</v>
      </c>
      <c r="X282" s="27">
        <v>58.36</v>
      </c>
      <c r="Y282" s="27">
        <v>33.34</v>
      </c>
      <c r="Z282" s="27">
        <v>49.42</v>
      </c>
      <c r="AA282" s="27">
        <v>7.45</v>
      </c>
      <c r="AB282" s="27">
        <v>0.84</v>
      </c>
      <c r="AC282" s="27">
        <v>1.03</v>
      </c>
      <c r="AD282" s="27">
        <v>2.33</v>
      </c>
      <c r="AE282" s="27">
        <v>3.24</v>
      </c>
      <c r="AF282" s="27">
        <v>167.99</v>
      </c>
      <c r="AG282" s="27"/>
      <c r="AH282" s="27"/>
      <c r="AI282" s="27"/>
      <c r="AJ282" s="27"/>
    </row>
    <row r="283" ht="25.5" customHeight="1">
      <c r="A283" s="23">
        <v>280.0</v>
      </c>
      <c r="B283" s="24">
        <v>46204.0</v>
      </c>
      <c r="C283" s="26" t="s">
        <v>2</v>
      </c>
      <c r="D283" s="26" t="s">
        <v>509</v>
      </c>
      <c r="E283" s="23" t="s">
        <v>511</v>
      </c>
      <c r="F283" s="23" t="s">
        <v>925</v>
      </c>
      <c r="G283" s="26"/>
      <c r="H283" s="26" t="s">
        <v>70</v>
      </c>
      <c r="I283" s="23" t="s">
        <v>107</v>
      </c>
      <c r="J283" s="23" t="s">
        <v>74</v>
      </c>
      <c r="K283" s="27">
        <v>4019.8</v>
      </c>
      <c r="L283" s="27">
        <v>532.44</v>
      </c>
      <c r="M283" s="27">
        <v>1265.32</v>
      </c>
      <c r="N283" s="27">
        <v>1062.75</v>
      </c>
      <c r="O283" s="27">
        <v>1159.27</v>
      </c>
      <c r="P283" s="27">
        <v>0.0</v>
      </c>
      <c r="Q283" s="27">
        <v>0.0</v>
      </c>
      <c r="R283" s="27">
        <v>0.0</v>
      </c>
      <c r="S283" s="27">
        <v>0.0</v>
      </c>
      <c r="T283" s="27">
        <v>0.0</v>
      </c>
      <c r="U283" s="27">
        <v>4019.8</v>
      </c>
      <c r="V283" s="27">
        <v>60.54</v>
      </c>
      <c r="W283" s="27">
        <v>8.54</v>
      </c>
      <c r="X283" s="27">
        <v>25.7</v>
      </c>
      <c r="Y283" s="27">
        <v>9.73</v>
      </c>
      <c r="Z283" s="27">
        <v>16.55</v>
      </c>
      <c r="AA283" s="27">
        <v>142.44</v>
      </c>
      <c r="AB283" s="27">
        <v>17.21</v>
      </c>
      <c r="AC283" s="27">
        <v>35.29</v>
      </c>
      <c r="AD283" s="27">
        <v>37.04</v>
      </c>
      <c r="AE283" s="27">
        <v>52.88</v>
      </c>
      <c r="AF283" s="27">
        <v>202.98</v>
      </c>
      <c r="AG283" s="27"/>
      <c r="AH283" s="27"/>
      <c r="AI283" s="27"/>
      <c r="AJ283" s="27"/>
    </row>
    <row r="284" ht="25.5" customHeight="1">
      <c r="A284" s="23">
        <v>281.0</v>
      </c>
      <c r="B284" s="24">
        <v>46204.0</v>
      </c>
      <c r="C284" s="26" t="s">
        <v>2</v>
      </c>
      <c r="D284" s="26" t="s">
        <v>926</v>
      </c>
      <c r="E284" s="23" t="s">
        <v>927</v>
      </c>
      <c r="F284" s="23" t="s">
        <v>928</v>
      </c>
      <c r="G284" s="26"/>
      <c r="H284" s="26" t="s">
        <v>70</v>
      </c>
      <c r="I284" s="23" t="s">
        <v>107</v>
      </c>
      <c r="J284" s="23" t="s">
        <v>74</v>
      </c>
      <c r="K284" s="27">
        <v>2197.9</v>
      </c>
      <c r="L284" s="27">
        <v>301.11</v>
      </c>
      <c r="M284" s="27">
        <v>673.96</v>
      </c>
      <c r="N284" s="27">
        <v>591.09</v>
      </c>
      <c r="O284" s="27">
        <v>631.72</v>
      </c>
      <c r="P284" s="27">
        <v>0.0</v>
      </c>
      <c r="Q284" s="27">
        <v>0.0</v>
      </c>
      <c r="R284" s="27">
        <v>0.0</v>
      </c>
      <c r="S284" s="27">
        <v>0.0</v>
      </c>
      <c r="T284" s="27">
        <v>0.0</v>
      </c>
      <c r="U284" s="27">
        <v>2197.9</v>
      </c>
      <c r="V284" s="27">
        <v>145.41</v>
      </c>
      <c r="W284" s="27">
        <v>15.09</v>
      </c>
      <c r="X284" s="27">
        <v>60.06</v>
      </c>
      <c r="Y284" s="27">
        <v>31.19</v>
      </c>
      <c r="Z284" s="27">
        <v>39.07</v>
      </c>
      <c r="AA284" s="27">
        <v>117.7</v>
      </c>
      <c r="AB284" s="27">
        <v>18.64</v>
      </c>
      <c r="AC284" s="27">
        <v>26.07</v>
      </c>
      <c r="AD284" s="27">
        <v>30.74</v>
      </c>
      <c r="AE284" s="27">
        <v>42.24</v>
      </c>
      <c r="AF284" s="27">
        <v>263.11</v>
      </c>
      <c r="AG284" s="27"/>
      <c r="AH284" s="27"/>
      <c r="AI284" s="27"/>
      <c r="AJ284" s="27"/>
    </row>
    <row r="285" ht="25.5" customHeight="1">
      <c r="A285" s="23">
        <v>282.0</v>
      </c>
      <c r="B285" s="24">
        <v>46204.0</v>
      </c>
      <c r="C285" s="26" t="s">
        <v>2</v>
      </c>
      <c r="D285" s="26" t="s">
        <v>929</v>
      </c>
      <c r="E285" s="23" t="s">
        <v>930</v>
      </c>
      <c r="F285" s="23" t="s">
        <v>931</v>
      </c>
      <c r="G285" s="26"/>
      <c r="H285" s="26" t="s">
        <v>70</v>
      </c>
      <c r="I285" s="23" t="s">
        <v>107</v>
      </c>
      <c r="J285" s="23" t="s">
        <v>74</v>
      </c>
      <c r="K285" s="27">
        <v>3409.22</v>
      </c>
      <c r="L285" s="27">
        <v>458.0</v>
      </c>
      <c r="M285" s="27">
        <v>1051.47</v>
      </c>
      <c r="N285" s="27">
        <v>911.59</v>
      </c>
      <c r="O285" s="27">
        <v>988.16</v>
      </c>
      <c r="P285" s="27">
        <v>0.0</v>
      </c>
      <c r="Q285" s="27">
        <v>0.0</v>
      </c>
      <c r="R285" s="27">
        <v>0.0</v>
      </c>
      <c r="S285" s="27">
        <v>0.0</v>
      </c>
      <c r="T285" s="27">
        <v>0.0</v>
      </c>
      <c r="U285" s="27">
        <v>3409.22</v>
      </c>
      <c r="V285" s="27">
        <v>270.33</v>
      </c>
      <c r="W285" s="27">
        <v>30.81</v>
      </c>
      <c r="X285" s="27">
        <v>111.65</v>
      </c>
      <c r="Y285" s="27">
        <v>56.9</v>
      </c>
      <c r="Z285" s="27">
        <v>70.96</v>
      </c>
      <c r="AA285" s="27">
        <v>37.71</v>
      </c>
      <c r="AB285" s="27">
        <v>6.34</v>
      </c>
      <c r="AC285" s="27">
        <v>7.58</v>
      </c>
      <c r="AD285" s="27">
        <v>9.58</v>
      </c>
      <c r="AE285" s="27">
        <v>14.19</v>
      </c>
      <c r="AF285" s="27">
        <v>308.04</v>
      </c>
      <c r="AG285" s="27"/>
      <c r="AH285" s="27"/>
      <c r="AI285" s="27"/>
      <c r="AJ285" s="27"/>
    </row>
    <row r="286" ht="25.5" customHeight="1">
      <c r="A286" s="23">
        <v>283.0</v>
      </c>
      <c r="B286" s="24">
        <v>46204.0</v>
      </c>
      <c r="C286" s="26" t="s">
        <v>2</v>
      </c>
      <c r="D286" s="26" t="s">
        <v>932</v>
      </c>
      <c r="E286" s="23" t="s">
        <v>933</v>
      </c>
      <c r="F286" s="23" t="s">
        <v>934</v>
      </c>
      <c r="G286" s="26"/>
      <c r="H286" s="26" t="s">
        <v>70</v>
      </c>
      <c r="I286" s="23" t="s">
        <v>72</v>
      </c>
      <c r="J286" s="23" t="s">
        <v>74</v>
      </c>
      <c r="K286" s="27">
        <v>1864.18</v>
      </c>
      <c r="L286" s="27">
        <v>251.56</v>
      </c>
      <c r="M286" s="27">
        <v>529.42</v>
      </c>
      <c r="N286" s="27">
        <v>499.03</v>
      </c>
      <c r="O286" s="27">
        <v>584.14</v>
      </c>
      <c r="P286" s="27">
        <v>0.0</v>
      </c>
      <c r="Q286" s="27">
        <v>0.0</v>
      </c>
      <c r="R286" s="27">
        <v>0.0</v>
      </c>
      <c r="S286" s="27">
        <v>0.0</v>
      </c>
      <c r="T286" s="27">
        <v>0.0</v>
      </c>
      <c r="U286" s="27">
        <v>1864.18</v>
      </c>
      <c r="V286" s="27">
        <v>54.21</v>
      </c>
      <c r="W286" s="27">
        <v>6.76</v>
      </c>
      <c r="X286" s="27">
        <v>25.66</v>
      </c>
      <c r="Y286" s="27">
        <v>8.85</v>
      </c>
      <c r="Z286" s="27">
        <v>12.92</v>
      </c>
      <c r="AA286" s="27">
        <v>58.71</v>
      </c>
      <c r="AB286" s="27">
        <v>6.77</v>
      </c>
      <c r="AC286" s="27">
        <v>8.79</v>
      </c>
      <c r="AD286" s="27">
        <v>14.77</v>
      </c>
      <c r="AE286" s="27">
        <v>28.36</v>
      </c>
      <c r="AF286" s="27">
        <v>112.92</v>
      </c>
      <c r="AG286" s="27"/>
      <c r="AH286" s="27"/>
      <c r="AI286" s="27"/>
      <c r="AJ286" s="27"/>
    </row>
    <row r="287" ht="25.5" customHeight="1">
      <c r="A287" s="23">
        <v>284.0</v>
      </c>
      <c r="B287" s="24">
        <v>46204.0</v>
      </c>
      <c r="C287" s="26" t="s">
        <v>2</v>
      </c>
      <c r="D287" s="26" t="s">
        <v>935</v>
      </c>
      <c r="E287" s="23" t="s">
        <v>936</v>
      </c>
      <c r="F287" s="23" t="s">
        <v>937</v>
      </c>
      <c r="G287" s="26"/>
      <c r="H287" s="26" t="s">
        <v>70</v>
      </c>
      <c r="I287" s="23" t="s">
        <v>107</v>
      </c>
      <c r="J287" s="23" t="s">
        <v>74</v>
      </c>
      <c r="K287" s="27">
        <v>2539.28</v>
      </c>
      <c r="L287" s="27">
        <v>360.36</v>
      </c>
      <c r="M287" s="27">
        <v>766.15</v>
      </c>
      <c r="N287" s="27">
        <v>675.34</v>
      </c>
      <c r="O287" s="27">
        <v>737.41</v>
      </c>
      <c r="P287" s="27">
        <v>0.68</v>
      </c>
      <c r="Q287" s="27">
        <v>0.0</v>
      </c>
      <c r="R287" s="27">
        <v>0.68</v>
      </c>
      <c r="S287" s="27">
        <v>0.0</v>
      </c>
      <c r="T287" s="27">
        <v>0.0</v>
      </c>
      <c r="U287" s="27">
        <v>2539.96</v>
      </c>
      <c r="V287" s="27">
        <v>76.38</v>
      </c>
      <c r="W287" s="27">
        <v>9.49</v>
      </c>
      <c r="X287" s="27">
        <v>43.74</v>
      </c>
      <c r="Y287" s="27">
        <v>12.64</v>
      </c>
      <c r="Z287" s="27">
        <v>10.49</v>
      </c>
      <c r="AA287" s="27">
        <v>85.42</v>
      </c>
      <c r="AB287" s="27">
        <v>9.24</v>
      </c>
      <c r="AC287" s="27">
        <v>9.65</v>
      </c>
      <c r="AD287" s="27">
        <v>20.31</v>
      </c>
      <c r="AE287" s="27">
        <v>46.21</v>
      </c>
      <c r="AF287" s="27">
        <v>161.8</v>
      </c>
      <c r="AG287" s="27"/>
      <c r="AH287" s="27"/>
      <c r="AI287" s="27"/>
      <c r="AJ287" s="27"/>
    </row>
    <row r="288" ht="25.5" customHeight="1">
      <c r="A288" s="23">
        <v>285.0</v>
      </c>
      <c r="B288" s="24">
        <v>46204.0</v>
      </c>
      <c r="C288" s="26" t="s">
        <v>2</v>
      </c>
      <c r="D288" s="26" t="s">
        <v>938</v>
      </c>
      <c r="E288" s="23" t="s">
        <v>939</v>
      </c>
      <c r="F288" s="23" t="s">
        <v>940</v>
      </c>
      <c r="G288" s="26"/>
      <c r="H288" s="26" t="s">
        <v>70</v>
      </c>
      <c r="I288" s="23" t="s">
        <v>72</v>
      </c>
      <c r="J288" s="23" t="s">
        <v>74</v>
      </c>
      <c r="K288" s="27">
        <v>5288.29</v>
      </c>
      <c r="L288" s="27">
        <v>743.44</v>
      </c>
      <c r="M288" s="27">
        <v>1578.07</v>
      </c>
      <c r="N288" s="27">
        <v>1391.26</v>
      </c>
      <c r="O288" s="27">
        <v>1575.51</v>
      </c>
      <c r="P288" s="27">
        <v>0.0</v>
      </c>
      <c r="Q288" s="27">
        <v>0.0</v>
      </c>
      <c r="R288" s="27">
        <v>0.0</v>
      </c>
      <c r="S288" s="27">
        <v>0.0</v>
      </c>
      <c r="T288" s="27">
        <v>0.0</v>
      </c>
      <c r="U288" s="27">
        <v>5288.29</v>
      </c>
      <c r="V288" s="27">
        <v>179.19</v>
      </c>
      <c r="W288" s="27">
        <v>19.92</v>
      </c>
      <c r="X288" s="27">
        <v>66.8</v>
      </c>
      <c r="Y288" s="27">
        <v>37.83</v>
      </c>
      <c r="Z288" s="27">
        <v>54.62</v>
      </c>
      <c r="AA288" s="27">
        <v>180.71</v>
      </c>
      <c r="AB288" s="27">
        <v>21.5</v>
      </c>
      <c r="AC288" s="27">
        <v>41.75</v>
      </c>
      <c r="AD288" s="27">
        <v>38.07</v>
      </c>
      <c r="AE288" s="27">
        <v>79.37</v>
      </c>
      <c r="AF288" s="27">
        <v>359.9</v>
      </c>
      <c r="AG288" s="27"/>
      <c r="AH288" s="27"/>
      <c r="AI288" s="27"/>
      <c r="AJ288" s="27"/>
    </row>
    <row r="289" ht="25.5" customHeight="1">
      <c r="A289" s="23">
        <v>286.0</v>
      </c>
      <c r="B289" s="24">
        <v>46204.0</v>
      </c>
      <c r="C289" s="26" t="s">
        <v>2</v>
      </c>
      <c r="D289" s="26" t="s">
        <v>941</v>
      </c>
      <c r="E289" s="23" t="s">
        <v>942</v>
      </c>
      <c r="F289" s="23" t="s">
        <v>943</v>
      </c>
      <c r="G289" s="26"/>
      <c r="H289" s="26" t="s">
        <v>70</v>
      </c>
      <c r="I289" s="23" t="s">
        <v>107</v>
      </c>
      <c r="J289" s="23" t="s">
        <v>74</v>
      </c>
      <c r="K289" s="27">
        <v>1294.12</v>
      </c>
      <c r="L289" s="27">
        <v>162.79</v>
      </c>
      <c r="M289" s="27">
        <v>339.18</v>
      </c>
      <c r="N289" s="27">
        <v>320.37</v>
      </c>
      <c r="O289" s="27">
        <v>471.77</v>
      </c>
      <c r="P289" s="27">
        <v>0.0</v>
      </c>
      <c r="Q289" s="27">
        <v>0.0</v>
      </c>
      <c r="R289" s="27">
        <v>0.0</v>
      </c>
      <c r="S289" s="27">
        <v>0.0</v>
      </c>
      <c r="T289" s="27">
        <v>0.0</v>
      </c>
      <c r="U289" s="27">
        <v>1294.12</v>
      </c>
      <c r="V289" s="27">
        <v>149.52</v>
      </c>
      <c r="W289" s="27">
        <v>9.63</v>
      </c>
      <c r="X289" s="27">
        <v>105.26</v>
      </c>
      <c r="Y289" s="27">
        <v>33.0</v>
      </c>
      <c r="Z289" s="27">
        <v>1.61</v>
      </c>
      <c r="AA289" s="27">
        <v>33.33</v>
      </c>
      <c r="AB289" s="27">
        <v>3.44</v>
      </c>
      <c r="AC289" s="27">
        <v>4.93</v>
      </c>
      <c r="AD289" s="27">
        <v>7.86</v>
      </c>
      <c r="AE289" s="27">
        <v>17.1</v>
      </c>
      <c r="AF289" s="27">
        <v>182.85</v>
      </c>
      <c r="AG289" s="27"/>
      <c r="AH289" s="27"/>
      <c r="AI289" s="27"/>
      <c r="AJ289" s="27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J$289">
    <sortState ref="A3:AJ289">
      <sortCondition ref="E3:E289"/>
    </sortState>
  </autoFilter>
  <mergeCells count="3">
    <mergeCell ref="A1:AJ1"/>
    <mergeCell ref="AG2:AH2"/>
    <mergeCell ref="AI2:AJ2"/>
  </mergeCells>
  <conditionalFormatting sqref="E1:E1000">
    <cfRule type="timePeriod" dxfId="0" priority="1" timePeriod="yesterday"/>
  </conditionalFormatting>
  <printOptions/>
  <pageMargins bottom="0.75" footer="0.0" header="0.0" left="0.7" right="0.7" top="0.75"/>
  <pageSetup orientation="landscape"/>
  <drawing r:id="rId1"/>
</worksheet>
</file>