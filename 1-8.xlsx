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kmaljon MUOVIN\ПЛАТФОРМА КУНЛИК\"/>
    </mc:Choice>
  </mc:AlternateContent>
  <xr:revisionPtr revIDLastSave="0" documentId="13_ncr:1_{525B2DA3-432F-4FE7-A548-C8EBA4D08DEE}" xr6:coauthVersionLast="45" xr6:coauthVersionMax="45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бир кунлик" sheetId="2" state="hidden" r:id="rId1"/>
    <sheet name="Sheet0" sheetId="1" state="hidden" r:id="rId2"/>
    <sheet name="Sheet0 (2)" sheetId="3" r:id="rId3"/>
  </sheets>
  <definedNames>
    <definedName name="_xlnm._FilterDatabase" localSheetId="1" hidden="1">Sheet0!$A$3:$G$365</definedName>
    <definedName name="_xlnm._FilterDatabase" localSheetId="2" hidden="1">'Sheet0 (2)'!$A$3:$G$41</definedName>
    <definedName name="_xlnm._FilterDatabase" localSheetId="0" hidden="1">'бир кунлик'!$A$4:$H$11</definedName>
    <definedName name="_xlnm.Print_Area" localSheetId="1">Sheet0!$A$1:$G$351</definedName>
    <definedName name="_xlnm.Print_Area" localSheetId="2">'Sheet0 (2)'!$A$1:$G$41</definedName>
    <definedName name="_xlnm.Print_Area" localSheetId="0">'бир кунлик'!$A$1:$M$15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" i="2" l="1"/>
  <c r="K12" i="2"/>
  <c r="J12" i="2"/>
  <c r="F12" i="2"/>
  <c r="E12" i="2"/>
  <c r="D12" i="2"/>
  <c r="L11" i="2"/>
  <c r="M11" i="2" s="1"/>
  <c r="L10" i="2"/>
  <c r="M10" i="2" s="1"/>
  <c r="L9" i="2"/>
  <c r="M9" i="2" s="1"/>
  <c r="L8" i="2"/>
  <c r="M8" i="2" s="1"/>
  <c r="L7" i="2"/>
  <c r="M7" i="2" s="1"/>
  <c r="L6" i="2"/>
  <c r="M6" i="2" s="1"/>
  <c r="M5" i="2"/>
  <c r="G11" i="2"/>
  <c r="G10" i="2"/>
  <c r="G9" i="2"/>
  <c r="G8" i="2"/>
  <c r="G7" i="2"/>
  <c r="G6" i="2"/>
  <c r="G5" i="2"/>
  <c r="L12" i="2" l="1"/>
  <c r="M12" i="2" s="1"/>
</calcChain>
</file>

<file path=xl/sharedStrings.xml><?xml version="1.0" encoding="utf-8"?>
<sst xmlns="http://schemas.openxmlformats.org/spreadsheetml/2006/main" count="2107" uniqueCount="1374">
  <si>
    <t>Отчет об ежедневных линейных потерях по фидерам</t>
  </si>
  <si>
    <t>ЭСП:Chinobod ETK</t>
  </si>
  <si>
    <t>№</t>
  </si>
  <si>
    <t>kWh</t>
  </si>
  <si>
    <t>Total</t>
  </si>
  <si>
    <t>01/08/2026</t>
  </si>
  <si>
    <t>105 526.990</t>
  </si>
  <si>
    <t>158 022.627</t>
  </si>
  <si>
    <t>0.000</t>
  </si>
  <si>
    <t>-52 495.637</t>
  </si>
  <si>
    <t>18306/21362</t>
  </si>
  <si>
    <t>48</t>
  </si>
  <si>
    <t>-0.600</t>
  </si>
  <si>
    <t>698.120</t>
  </si>
  <si>
    <t>-698.720</t>
  </si>
  <si>
    <t>141/149</t>
  </si>
  <si>
    <t>340</t>
  </si>
  <si>
    <t>-4.000</t>
  </si>
  <si>
    <t>153.120</t>
  </si>
  <si>
    <t>-157.120</t>
  </si>
  <si>
    <t>49/50</t>
  </si>
  <si>
    <t>112</t>
  </si>
  <si>
    <t>-10.400</t>
  </si>
  <si>
    <t>298.990</t>
  </si>
  <si>
    <t>-309.390</t>
  </si>
  <si>
    <t>58/72</t>
  </si>
  <si>
    <t>109</t>
  </si>
  <si>
    <t>-348.800</t>
  </si>
  <si>
    <t>1 852.040</t>
  </si>
  <si>
    <t>-2 200.840</t>
  </si>
  <si>
    <t>90/107</t>
  </si>
  <si>
    <t>306</t>
  </si>
  <si>
    <t>-42.000</t>
  </si>
  <si>
    <t>206.630</t>
  </si>
  <si>
    <t>-248.630</t>
  </si>
  <si>
    <t>34/34</t>
  </si>
  <si>
    <t>24</t>
  </si>
  <si>
    <t>35/37</t>
  </si>
  <si>
    <t>305</t>
  </si>
  <si>
    <t>20/20</t>
  </si>
  <si>
    <t>1</t>
  </si>
  <si>
    <t>-55.800</t>
  </si>
  <si>
    <t>133.740</t>
  </si>
  <si>
    <t>-189.540</t>
  </si>
  <si>
    <t>26/29</t>
  </si>
  <si>
    <t>165</t>
  </si>
  <si>
    <t>-57.200</t>
  </si>
  <si>
    <t>64.380</t>
  </si>
  <si>
    <t>-121.580</t>
  </si>
  <si>
    <t>15/16</t>
  </si>
  <si>
    <t>56</t>
  </si>
  <si>
    <t>-374.400</t>
  </si>
  <si>
    <t>194.960</t>
  </si>
  <si>
    <t>-569.360</t>
  </si>
  <si>
    <t>49/52</t>
  </si>
  <si>
    <t>251</t>
  </si>
  <si>
    <t>-346.200</t>
  </si>
  <si>
    <t>126.260</t>
  </si>
  <si>
    <t>-472.460</t>
  </si>
  <si>
    <t>40/50</t>
  </si>
  <si>
    <t>205</t>
  </si>
  <si>
    <t>-378.400</t>
  </si>
  <si>
    <t>26.440</t>
  </si>
  <si>
    <t>-404.840</t>
  </si>
  <si>
    <t>9/22</t>
  </si>
  <si>
    <t>179A</t>
  </si>
  <si>
    <t>1/2</t>
  </si>
  <si>
    <t>422</t>
  </si>
  <si>
    <t>4/4</t>
  </si>
  <si>
    <t>10</t>
  </si>
  <si>
    <t>13/14</t>
  </si>
  <si>
    <t>124A</t>
  </si>
  <si>
    <t>459.600</t>
  </si>
  <si>
    <t>67.280</t>
  </si>
  <si>
    <t>392.320</t>
  </si>
  <si>
    <t>14/15</t>
  </si>
  <si>
    <t>102</t>
  </si>
  <si>
    <t>858.500</t>
  </si>
  <si>
    <t>134.050</t>
  </si>
  <si>
    <t>724.450</t>
  </si>
  <si>
    <t>9/10</t>
  </si>
  <si>
    <t>386</t>
  </si>
  <si>
    <t>374.000</t>
  </si>
  <si>
    <t>61.680</t>
  </si>
  <si>
    <t>312.320</t>
  </si>
  <si>
    <t>17/18</t>
  </si>
  <si>
    <t>169</t>
  </si>
  <si>
    <t>388.400</t>
  </si>
  <si>
    <t>88.770</t>
  </si>
  <si>
    <t>299.630</t>
  </si>
  <si>
    <t>21/25</t>
  </si>
  <si>
    <t>116</t>
  </si>
  <si>
    <t>12.800</t>
  </si>
  <si>
    <t>3.420</t>
  </si>
  <si>
    <t>9.380</t>
  </si>
  <si>
    <t>2/25</t>
  </si>
  <si>
    <t>173</t>
  </si>
  <si>
    <t>615.200</t>
  </si>
  <si>
    <t>194.560</t>
  </si>
  <si>
    <t>420.640</t>
  </si>
  <si>
    <t>34/42</t>
  </si>
  <si>
    <t>257</t>
  </si>
  <si>
    <t>577.600</t>
  </si>
  <si>
    <t>194.920</t>
  </si>
  <si>
    <t>382.680</t>
  </si>
  <si>
    <t>51/132</t>
  </si>
  <si>
    <t>213</t>
  </si>
  <si>
    <t>275.200</t>
  </si>
  <si>
    <t>109.640</t>
  </si>
  <si>
    <t>165.560</t>
  </si>
  <si>
    <t>31/34</t>
  </si>
  <si>
    <t>188A</t>
  </si>
  <si>
    <t>226.200</t>
  </si>
  <si>
    <t>93.890</t>
  </si>
  <si>
    <t>132.310</t>
  </si>
  <si>
    <t>10/35</t>
  </si>
  <si>
    <t>180</t>
  </si>
  <si>
    <t>359.200</t>
  </si>
  <si>
    <t>150.420</t>
  </si>
  <si>
    <t>208.780</t>
  </si>
  <si>
    <t>40/42</t>
  </si>
  <si>
    <t>85</t>
  </si>
  <si>
    <t>2 120.000</t>
  </si>
  <si>
    <t>895.330</t>
  </si>
  <si>
    <t>1 224.670</t>
  </si>
  <si>
    <t>56/75</t>
  </si>
  <si>
    <t>62</t>
  </si>
  <si>
    <t>300.000</t>
  </si>
  <si>
    <t>129.730</t>
  </si>
  <si>
    <t>170.270</t>
  </si>
  <si>
    <t>46/49</t>
  </si>
  <si>
    <t>84</t>
  </si>
  <si>
    <t>154.800</t>
  </si>
  <si>
    <t>68.470</t>
  </si>
  <si>
    <t>86.330</t>
  </si>
  <si>
    <t>310</t>
  </si>
  <si>
    <t>40.200</t>
  </si>
  <si>
    <t>17.850</t>
  </si>
  <si>
    <t>22.350</t>
  </si>
  <si>
    <t>7/8</t>
  </si>
  <si>
    <t>124</t>
  </si>
  <si>
    <t>238.400</t>
  </si>
  <si>
    <t>110.710</t>
  </si>
  <si>
    <t>127.690</t>
  </si>
  <si>
    <t>13/47</t>
  </si>
  <si>
    <t>193A</t>
  </si>
  <si>
    <t>198.000</t>
  </si>
  <si>
    <t>94.010</t>
  </si>
  <si>
    <t>103.990</t>
  </si>
  <si>
    <t>18/42</t>
  </si>
  <si>
    <t>332</t>
  </si>
  <si>
    <t>34/36</t>
  </si>
  <si>
    <t>387A</t>
  </si>
  <si>
    <t>220.500</t>
  </si>
  <si>
    <t>110.360</t>
  </si>
  <si>
    <t>110.140</t>
  </si>
  <si>
    <t>30/31</t>
  </si>
  <si>
    <t>144</t>
  </si>
  <si>
    <t>160.800</t>
  </si>
  <si>
    <t>83.210</t>
  </si>
  <si>
    <t>77.590</t>
  </si>
  <si>
    <t>6/22</t>
  </si>
  <si>
    <t>183</t>
  </si>
  <si>
    <t>146.000</t>
  </si>
  <si>
    <t>77.370</t>
  </si>
  <si>
    <t>68.630</t>
  </si>
  <si>
    <t>18/20</t>
  </si>
  <si>
    <t>281</t>
  </si>
  <si>
    <t>192.300</t>
  </si>
  <si>
    <t>102.570</t>
  </si>
  <si>
    <t>89.730</t>
  </si>
  <si>
    <t>9/9</t>
  </si>
  <si>
    <t>315A</t>
  </si>
  <si>
    <t>28/28</t>
  </si>
  <si>
    <t>263</t>
  </si>
  <si>
    <t>228.000</t>
  </si>
  <si>
    <t>126.560</t>
  </si>
  <si>
    <t>101.440</t>
  </si>
  <si>
    <t>18/31</t>
  </si>
  <si>
    <t>47А</t>
  </si>
  <si>
    <t>16/18</t>
  </si>
  <si>
    <t>294</t>
  </si>
  <si>
    <t>94/96</t>
  </si>
  <si>
    <t>199</t>
  </si>
  <si>
    <t>355.800</t>
  </si>
  <si>
    <t>218.080</t>
  </si>
  <si>
    <t>137.720</t>
  </si>
  <si>
    <t>71/80</t>
  </si>
  <si>
    <t>141</t>
  </si>
  <si>
    <t>682.200</t>
  </si>
  <si>
    <t>420.940</t>
  </si>
  <si>
    <t>261.260</t>
  </si>
  <si>
    <t>80/88</t>
  </si>
  <si>
    <t>179</t>
  </si>
  <si>
    <t>74/80</t>
  </si>
  <si>
    <t>268</t>
  </si>
  <si>
    <t>102/105</t>
  </si>
  <si>
    <t>219</t>
  </si>
  <si>
    <t>436.800</t>
  </si>
  <si>
    <t>301.360</t>
  </si>
  <si>
    <t>135.440</t>
  </si>
  <si>
    <t>44/90</t>
  </si>
  <si>
    <t>78</t>
  </si>
  <si>
    <t>227.400</t>
  </si>
  <si>
    <t>159.870</t>
  </si>
  <si>
    <t>67.530</t>
  </si>
  <si>
    <t>29/30</t>
  </si>
  <si>
    <t>190</t>
  </si>
  <si>
    <t>91/107</t>
  </si>
  <si>
    <t>208</t>
  </si>
  <si>
    <t>458.800</t>
  </si>
  <si>
    <t>326.010</t>
  </si>
  <si>
    <t>132.790</t>
  </si>
  <si>
    <t>85/93</t>
  </si>
  <si>
    <t>331</t>
  </si>
  <si>
    <t>43/47</t>
  </si>
  <si>
    <t>272</t>
  </si>
  <si>
    <t>539.400</t>
  </si>
  <si>
    <t>386.560</t>
  </si>
  <si>
    <t>152.840</t>
  </si>
  <si>
    <t>101/115</t>
  </si>
  <si>
    <t>77</t>
  </si>
  <si>
    <t>884.800</t>
  </si>
  <si>
    <t>642.980</t>
  </si>
  <si>
    <t>241.820</t>
  </si>
  <si>
    <t>99/101</t>
  </si>
  <si>
    <t>152</t>
  </si>
  <si>
    <t>868.200</t>
  </si>
  <si>
    <t>633.340</t>
  </si>
  <si>
    <t>234.860</t>
  </si>
  <si>
    <t>115/160</t>
  </si>
  <si>
    <t>54</t>
  </si>
  <si>
    <t>916.300</t>
  </si>
  <si>
    <t>670.086</t>
  </si>
  <si>
    <t>246.214</t>
  </si>
  <si>
    <t>120/131</t>
  </si>
  <si>
    <t>51</t>
  </si>
  <si>
    <t>120.600</t>
  </si>
  <si>
    <t>88.260</t>
  </si>
  <si>
    <t>32.340</t>
  </si>
  <si>
    <t>17/17</t>
  </si>
  <si>
    <t>275</t>
  </si>
  <si>
    <t>484.200</t>
  </si>
  <si>
    <t>355.230</t>
  </si>
  <si>
    <t>128.970</t>
  </si>
  <si>
    <t>72/81</t>
  </si>
  <si>
    <t>264A</t>
  </si>
  <si>
    <t>244.000</t>
  </si>
  <si>
    <t>183.110</t>
  </si>
  <si>
    <t>60.890</t>
  </si>
  <si>
    <t>10/10</t>
  </si>
  <si>
    <t>33</t>
  </si>
  <si>
    <t>80/85</t>
  </si>
  <si>
    <t>130-A</t>
  </si>
  <si>
    <t>451.200</t>
  </si>
  <si>
    <t>344.210</t>
  </si>
  <si>
    <t>106.990</t>
  </si>
  <si>
    <t>55</t>
  </si>
  <si>
    <t>358.800</t>
  </si>
  <si>
    <t>277.880</t>
  </si>
  <si>
    <t>80.920</t>
  </si>
  <si>
    <t>71/77</t>
  </si>
  <si>
    <t>15A</t>
  </si>
  <si>
    <t>29/34</t>
  </si>
  <si>
    <t>360</t>
  </si>
  <si>
    <t>53/64</t>
  </si>
  <si>
    <t>278</t>
  </si>
  <si>
    <t>570.600</t>
  </si>
  <si>
    <t>447.870</t>
  </si>
  <si>
    <t>122.730</t>
  </si>
  <si>
    <t>95/102</t>
  </si>
  <si>
    <t>27</t>
  </si>
  <si>
    <t>106/134</t>
  </si>
  <si>
    <t>199A</t>
  </si>
  <si>
    <t>204.800</t>
  </si>
  <si>
    <t>162.090</t>
  </si>
  <si>
    <t>42.710</t>
  </si>
  <si>
    <t>26/33</t>
  </si>
  <si>
    <t>20</t>
  </si>
  <si>
    <t>56/61</t>
  </si>
  <si>
    <t>44А</t>
  </si>
  <si>
    <t>941.600</t>
  </si>
  <si>
    <t>754.040</t>
  </si>
  <si>
    <t>187.560</t>
  </si>
  <si>
    <t>160/165</t>
  </si>
  <si>
    <t>348</t>
  </si>
  <si>
    <t>319.200</t>
  </si>
  <si>
    <t>257.740</t>
  </si>
  <si>
    <t>61.460</t>
  </si>
  <si>
    <t>38/40</t>
  </si>
  <si>
    <t>167</t>
  </si>
  <si>
    <t>437.600</t>
  </si>
  <si>
    <t>354.160</t>
  </si>
  <si>
    <t>83.440</t>
  </si>
  <si>
    <t>67/73</t>
  </si>
  <si>
    <t>171</t>
  </si>
  <si>
    <t>116/120</t>
  </si>
  <si>
    <t>135</t>
  </si>
  <si>
    <t>339.200</t>
  </si>
  <si>
    <t>278.000</t>
  </si>
  <si>
    <t>61.200</t>
  </si>
  <si>
    <t>59/63</t>
  </si>
  <si>
    <t>330</t>
  </si>
  <si>
    <t>1 551.000</t>
  </si>
  <si>
    <t>1 272.381</t>
  </si>
  <si>
    <t>278.619</t>
  </si>
  <si>
    <t>97/109</t>
  </si>
  <si>
    <t>355А</t>
  </si>
  <si>
    <t>473.200</t>
  </si>
  <si>
    <t>390.100</t>
  </si>
  <si>
    <t>83.100</t>
  </si>
  <si>
    <t>64</t>
  </si>
  <si>
    <t>765.600</t>
  </si>
  <si>
    <t>631.820</t>
  </si>
  <si>
    <t>133.780</t>
  </si>
  <si>
    <t>136/147</t>
  </si>
  <si>
    <t>364</t>
  </si>
  <si>
    <t>243.200</t>
  </si>
  <si>
    <t>201.780</t>
  </si>
  <si>
    <t>41.420</t>
  </si>
  <si>
    <t>37/39</t>
  </si>
  <si>
    <t>217</t>
  </si>
  <si>
    <t>335.200</t>
  </si>
  <si>
    <t>278.260</t>
  </si>
  <si>
    <t>56.940</t>
  </si>
  <si>
    <t>60/63</t>
  </si>
  <si>
    <t>40</t>
  </si>
  <si>
    <t>283.200</t>
  </si>
  <si>
    <t>236.400</t>
  </si>
  <si>
    <t>46.800</t>
  </si>
  <si>
    <t>36/37</t>
  </si>
  <si>
    <t>19</t>
  </si>
  <si>
    <t>711.600</t>
  </si>
  <si>
    <t>600.930</t>
  </si>
  <si>
    <t>110.670</t>
  </si>
  <si>
    <t>64/71</t>
  </si>
  <si>
    <t>318</t>
  </si>
  <si>
    <t>541.200</t>
  </si>
  <si>
    <t>459.800</t>
  </si>
  <si>
    <t>81.400</t>
  </si>
  <si>
    <t>94/111</t>
  </si>
  <si>
    <t>303</t>
  </si>
  <si>
    <t>466.800</t>
  </si>
  <si>
    <t>397.190</t>
  </si>
  <si>
    <t>69.610</t>
  </si>
  <si>
    <t>68/70</t>
  </si>
  <si>
    <t>210</t>
  </si>
  <si>
    <t>235.600</t>
  </si>
  <si>
    <t>200.540</t>
  </si>
  <si>
    <t>35.060</t>
  </si>
  <si>
    <t>39/46</t>
  </si>
  <si>
    <t>24A</t>
  </si>
  <si>
    <t>182</t>
  </si>
  <si>
    <t>83.400</t>
  </si>
  <si>
    <t>72.310</t>
  </si>
  <si>
    <t>11.090</t>
  </si>
  <si>
    <t>21/23</t>
  </si>
  <si>
    <t>292</t>
  </si>
  <si>
    <t>266.400</t>
  </si>
  <si>
    <t>231.820</t>
  </si>
  <si>
    <t>34.580</t>
  </si>
  <si>
    <t>42/45</t>
  </si>
  <si>
    <t>313</t>
  </si>
  <si>
    <t>2 566.400</t>
  </si>
  <si>
    <t>2 240.210</t>
  </si>
  <si>
    <t>326.190</t>
  </si>
  <si>
    <t>129/141</t>
  </si>
  <si>
    <t>63</t>
  </si>
  <si>
    <t>589.600</t>
  </si>
  <si>
    <t>520.650</t>
  </si>
  <si>
    <t>68.950</t>
  </si>
  <si>
    <t>109/118</t>
  </si>
  <si>
    <t>357</t>
  </si>
  <si>
    <t>1 152.400</t>
  </si>
  <si>
    <t>1 027.530</t>
  </si>
  <si>
    <t>124.870</t>
  </si>
  <si>
    <t>82/87</t>
  </si>
  <si>
    <t>184</t>
  </si>
  <si>
    <t>343.200</t>
  </si>
  <si>
    <t>306.310</t>
  </si>
  <si>
    <t>36.890</t>
  </si>
  <si>
    <t>92/100</t>
  </si>
  <si>
    <t>228</t>
  </si>
  <si>
    <t>321.910</t>
  </si>
  <si>
    <t>57/59</t>
  </si>
  <si>
    <t>286</t>
  </si>
  <si>
    <t>389.400</t>
  </si>
  <si>
    <t>353.210</t>
  </si>
  <si>
    <t>36.190</t>
  </si>
  <si>
    <t>82/86</t>
  </si>
  <si>
    <t>312</t>
  </si>
  <si>
    <t>60/62</t>
  </si>
  <si>
    <t>269</t>
  </si>
  <si>
    <t>546.600</t>
  </si>
  <si>
    <t>499.006</t>
  </si>
  <si>
    <t>47.594</t>
  </si>
  <si>
    <t>75/79</t>
  </si>
  <si>
    <t>76</t>
  </si>
  <si>
    <t>369.000</t>
  </si>
  <si>
    <t>337.400</t>
  </si>
  <si>
    <t>31.600</t>
  </si>
  <si>
    <t>67/76</t>
  </si>
  <si>
    <t>41</t>
  </si>
  <si>
    <t>1 227.200</t>
  </si>
  <si>
    <t>1 122.830</t>
  </si>
  <si>
    <t>104.370</t>
  </si>
  <si>
    <t>66A</t>
  </si>
  <si>
    <t>24/25</t>
  </si>
  <si>
    <t>49</t>
  </si>
  <si>
    <t>556.800</t>
  </si>
  <si>
    <t>513.360</t>
  </si>
  <si>
    <t>43.440</t>
  </si>
  <si>
    <t>125/129</t>
  </si>
  <si>
    <t>233A</t>
  </si>
  <si>
    <t>328.200</t>
  </si>
  <si>
    <t>303.090</t>
  </si>
  <si>
    <t>25.110</t>
  </si>
  <si>
    <t>52/60</t>
  </si>
  <si>
    <t>267</t>
  </si>
  <si>
    <t>45/52</t>
  </si>
  <si>
    <t>95</t>
  </si>
  <si>
    <t>374.400</t>
  </si>
  <si>
    <t>346.390</t>
  </si>
  <si>
    <t>28.010</t>
  </si>
  <si>
    <t>23/25</t>
  </si>
  <si>
    <t>266</t>
  </si>
  <si>
    <t>70/76</t>
  </si>
  <si>
    <t>62A</t>
  </si>
  <si>
    <t>160.200</t>
  </si>
  <si>
    <t>150.200</t>
  </si>
  <si>
    <t>10.000</t>
  </si>
  <si>
    <t>25/25</t>
  </si>
  <si>
    <t>15</t>
  </si>
  <si>
    <t>100/103</t>
  </si>
  <si>
    <t>57A</t>
  </si>
  <si>
    <t>290.400</t>
  </si>
  <si>
    <t>274.870</t>
  </si>
  <si>
    <t>15.530</t>
  </si>
  <si>
    <t>63/68</t>
  </si>
  <si>
    <t>68</t>
  </si>
  <si>
    <t>688.200</t>
  </si>
  <si>
    <t>653.060</t>
  </si>
  <si>
    <t>35.140</t>
  </si>
  <si>
    <t>124/126</t>
  </si>
  <si>
    <t>96</t>
  </si>
  <si>
    <t>855.200</t>
  </si>
  <si>
    <t>817.970</t>
  </si>
  <si>
    <t>37.230</t>
  </si>
  <si>
    <t>131/133</t>
  </si>
  <si>
    <t>175</t>
  </si>
  <si>
    <t>191.200</t>
  </si>
  <si>
    <t>183.630</t>
  </si>
  <si>
    <t>7.570</t>
  </si>
  <si>
    <t>59/60</t>
  </si>
  <si>
    <t>74A</t>
  </si>
  <si>
    <t>62.000</t>
  </si>
  <si>
    <t>59.890</t>
  </si>
  <si>
    <t>2.110</t>
  </si>
  <si>
    <t>11/12</t>
  </si>
  <si>
    <t>186</t>
  </si>
  <si>
    <t>805.600</t>
  </si>
  <si>
    <t>782.930</t>
  </si>
  <si>
    <t>22.670</t>
  </si>
  <si>
    <t>100/106</t>
  </si>
  <si>
    <t>258A</t>
  </si>
  <si>
    <t>412.400</t>
  </si>
  <si>
    <t>401.520</t>
  </si>
  <si>
    <t>10.880</t>
  </si>
  <si>
    <t>65/65</t>
  </si>
  <si>
    <t>324</t>
  </si>
  <si>
    <t>574.200</t>
  </si>
  <si>
    <t>562.230</t>
  </si>
  <si>
    <t>11.970</t>
  </si>
  <si>
    <t>77/84</t>
  </si>
  <si>
    <t>274</t>
  </si>
  <si>
    <t>843.600</t>
  </si>
  <si>
    <t>827.030</t>
  </si>
  <si>
    <t>16.570</t>
  </si>
  <si>
    <t>151/162</t>
  </si>
  <si>
    <t>40A</t>
  </si>
  <si>
    <t>47</t>
  </si>
  <si>
    <t>94/101</t>
  </si>
  <si>
    <t>277</t>
  </si>
  <si>
    <t>457.600</t>
  </si>
  <si>
    <t>456.750</t>
  </si>
  <si>
    <t>0.850</t>
  </si>
  <si>
    <t>109/115</t>
  </si>
  <si>
    <t>50</t>
  </si>
  <si>
    <t>84.380</t>
  </si>
  <si>
    <t>-84.380</t>
  </si>
  <si>
    <t>15/177</t>
  </si>
  <si>
    <t>495</t>
  </si>
  <si>
    <t>3.100</t>
  </si>
  <si>
    <t>1/1</t>
  </si>
  <si>
    <t>150</t>
  </si>
  <si>
    <t>997.390</t>
  </si>
  <si>
    <t>-997.390</t>
  </si>
  <si>
    <t>110/130</t>
  </si>
  <si>
    <t>100</t>
  </si>
  <si>
    <t>181.510</t>
  </si>
  <si>
    <t>-181.510</t>
  </si>
  <si>
    <t>19/20</t>
  </si>
  <si>
    <t>45</t>
  </si>
  <si>
    <t>85.000</t>
  </si>
  <si>
    <t>307</t>
  </si>
  <si>
    <t>12.550</t>
  </si>
  <si>
    <t>256</t>
  </si>
  <si>
    <t>163.970</t>
  </si>
  <si>
    <t>1/25</t>
  </si>
  <si>
    <t>91</t>
  </si>
  <si>
    <t>14.980</t>
  </si>
  <si>
    <t>-14.980</t>
  </si>
  <si>
    <t>5/78</t>
  </si>
  <si>
    <t>157</t>
  </si>
  <si>
    <t>1.990</t>
  </si>
  <si>
    <t>1/98</t>
  </si>
  <si>
    <t>371</t>
  </si>
  <si>
    <t>400.590</t>
  </si>
  <si>
    <t>-400.590</t>
  </si>
  <si>
    <t>71/75</t>
  </si>
  <si>
    <t>343</t>
  </si>
  <si>
    <t>455</t>
  </si>
  <si>
    <t>3.200</t>
  </si>
  <si>
    <t>300A</t>
  </si>
  <si>
    <t>16.080</t>
  </si>
  <si>
    <t>346</t>
  </si>
  <si>
    <t>6.250</t>
  </si>
  <si>
    <t>468</t>
  </si>
  <si>
    <t>13.430</t>
  </si>
  <si>
    <t>473</t>
  </si>
  <si>
    <t>17.590</t>
  </si>
  <si>
    <t>230</t>
  </si>
  <si>
    <t>3.700</t>
  </si>
  <si>
    <t>42A</t>
  </si>
  <si>
    <t>298</t>
  </si>
  <si>
    <t>102.490</t>
  </si>
  <si>
    <t>-102.490</t>
  </si>
  <si>
    <t>15/35</t>
  </si>
  <si>
    <t>174</t>
  </si>
  <si>
    <t>17.120</t>
  </si>
  <si>
    <t>-17.120</t>
  </si>
  <si>
    <t>3/75</t>
  </si>
  <si>
    <t>139</t>
  </si>
  <si>
    <t>74.070</t>
  </si>
  <si>
    <t>-74.070</t>
  </si>
  <si>
    <t>5/5</t>
  </si>
  <si>
    <t>65</t>
  </si>
  <si>
    <t>931.350</t>
  </si>
  <si>
    <t>-931.350</t>
  </si>
  <si>
    <t>156/161</t>
  </si>
  <si>
    <t>204</t>
  </si>
  <si>
    <t>124.430</t>
  </si>
  <si>
    <t>-124.430</t>
  </si>
  <si>
    <t>32/93</t>
  </si>
  <si>
    <t>14</t>
  </si>
  <si>
    <t>360.700</t>
  </si>
  <si>
    <t>-360.700</t>
  </si>
  <si>
    <t>76/89</t>
  </si>
  <si>
    <t>300</t>
  </si>
  <si>
    <t>TR-box</t>
  </si>
  <si>
    <t>865.690</t>
  </si>
  <si>
    <t>-865.690</t>
  </si>
  <si>
    <t>5/6</t>
  </si>
  <si>
    <t>55A</t>
  </si>
  <si>
    <t>118.220</t>
  </si>
  <si>
    <t>-118.220</t>
  </si>
  <si>
    <t>19/58</t>
  </si>
  <si>
    <t>459</t>
  </si>
  <si>
    <t>70.890</t>
  </si>
  <si>
    <t>46</t>
  </si>
  <si>
    <t>467</t>
  </si>
  <si>
    <t>17.280</t>
  </si>
  <si>
    <t>469</t>
  </si>
  <si>
    <t>0.290</t>
  </si>
  <si>
    <t>471</t>
  </si>
  <si>
    <t>176.400</t>
  </si>
  <si>
    <t>101</t>
  </si>
  <si>
    <t>3.990</t>
  </si>
  <si>
    <t>107</t>
  </si>
  <si>
    <t>269.250</t>
  </si>
  <si>
    <t>-269.250</t>
  </si>
  <si>
    <t>114</t>
  </si>
  <si>
    <t>113.200</t>
  </si>
  <si>
    <t>460</t>
  </si>
  <si>
    <t>87.870</t>
  </si>
  <si>
    <t>189</t>
  </si>
  <si>
    <t>8.100</t>
  </si>
  <si>
    <t>253</t>
  </si>
  <si>
    <t>248</t>
  </si>
  <si>
    <t>7.860</t>
  </si>
  <si>
    <t>155</t>
  </si>
  <si>
    <t>4.560</t>
  </si>
  <si>
    <t>-4.560</t>
  </si>
  <si>
    <t>2/92</t>
  </si>
  <si>
    <t>147</t>
  </si>
  <si>
    <t>24.900</t>
  </si>
  <si>
    <t>-24.900</t>
  </si>
  <si>
    <t>6/6</t>
  </si>
  <si>
    <t>146</t>
  </si>
  <si>
    <t>366.660</t>
  </si>
  <si>
    <t>-366.660</t>
  </si>
  <si>
    <t>8/69</t>
  </si>
  <si>
    <t>203</t>
  </si>
  <si>
    <t>164.220</t>
  </si>
  <si>
    <t>-164.220</t>
  </si>
  <si>
    <t>15/151</t>
  </si>
  <si>
    <t>39</t>
  </si>
  <si>
    <t>69</t>
  </si>
  <si>
    <t>150.870</t>
  </si>
  <si>
    <t>-150.870</t>
  </si>
  <si>
    <t>21/21</t>
  </si>
  <si>
    <t>163</t>
  </si>
  <si>
    <t>381.860</t>
  </si>
  <si>
    <t>-381.860</t>
  </si>
  <si>
    <t>95/108</t>
  </si>
  <si>
    <t>462</t>
  </si>
  <si>
    <t>29.250</t>
  </si>
  <si>
    <t>475</t>
  </si>
  <si>
    <t>1.200</t>
  </si>
  <si>
    <t>226A</t>
  </si>
  <si>
    <t>15/15</t>
  </si>
  <si>
    <t>93</t>
  </si>
  <si>
    <t>73.200</t>
  </si>
  <si>
    <t>162</t>
  </si>
  <si>
    <t>58.800</t>
  </si>
  <si>
    <t>463</t>
  </si>
  <si>
    <t>181.700</t>
  </si>
  <si>
    <t>476</t>
  </si>
  <si>
    <t>0.950</t>
  </si>
  <si>
    <t>492</t>
  </si>
  <si>
    <t>6.670</t>
  </si>
  <si>
    <t>423</t>
  </si>
  <si>
    <t>8.220</t>
  </si>
  <si>
    <t>-8.220</t>
  </si>
  <si>
    <t>491</t>
  </si>
  <si>
    <t>494</t>
  </si>
  <si>
    <t>10.800</t>
  </si>
  <si>
    <t>127</t>
  </si>
  <si>
    <t>357.400</t>
  </si>
  <si>
    <t>143</t>
  </si>
  <si>
    <t>98</t>
  </si>
  <si>
    <t>3</t>
  </si>
  <si>
    <t>485</t>
  </si>
  <si>
    <t>131.500</t>
  </si>
  <si>
    <t>167A</t>
  </si>
  <si>
    <t>261.480</t>
  </si>
  <si>
    <t>-261.480</t>
  </si>
  <si>
    <t>81/89</t>
  </si>
  <si>
    <t>34</t>
  </si>
  <si>
    <t>99/103</t>
  </si>
  <si>
    <t>285</t>
  </si>
  <si>
    <t>586.400</t>
  </si>
  <si>
    <t>591.540</t>
  </si>
  <si>
    <t>-5.140</t>
  </si>
  <si>
    <t>84/89</t>
  </si>
  <si>
    <t>67</t>
  </si>
  <si>
    <t>284</t>
  </si>
  <si>
    <t>408.000</t>
  </si>
  <si>
    <t>413.390</t>
  </si>
  <si>
    <t>-5.390</t>
  </si>
  <si>
    <t>88/93</t>
  </si>
  <si>
    <t>113</t>
  </si>
  <si>
    <t>450.000</t>
  </si>
  <si>
    <t>458.310</t>
  </si>
  <si>
    <t>-8.310</t>
  </si>
  <si>
    <t>87/89</t>
  </si>
  <si>
    <t>372</t>
  </si>
  <si>
    <t>522.000</t>
  </si>
  <si>
    <t>533.590</t>
  </si>
  <si>
    <t>-11.590</t>
  </si>
  <si>
    <t>92/96</t>
  </si>
  <si>
    <t>358A</t>
  </si>
  <si>
    <t>262.800</t>
  </si>
  <si>
    <t>270.090</t>
  </si>
  <si>
    <t>-7.290</t>
  </si>
  <si>
    <t>48/54</t>
  </si>
  <si>
    <t>122</t>
  </si>
  <si>
    <t>65/70</t>
  </si>
  <si>
    <t>160A</t>
  </si>
  <si>
    <t>402.400</t>
  </si>
  <si>
    <t>417.000</t>
  </si>
  <si>
    <t>-14.600</t>
  </si>
  <si>
    <t>71/76</t>
  </si>
  <si>
    <t>347</t>
  </si>
  <si>
    <t>508.000</t>
  </si>
  <si>
    <t>528.640</t>
  </si>
  <si>
    <t>-20.640</t>
  </si>
  <si>
    <t>77/82</t>
  </si>
  <si>
    <t>153</t>
  </si>
  <si>
    <t>706.000</t>
  </si>
  <si>
    <t>734.880</t>
  </si>
  <si>
    <t>-28.880</t>
  </si>
  <si>
    <t>92/116</t>
  </si>
  <si>
    <t>273</t>
  </si>
  <si>
    <t>448.800</t>
  </si>
  <si>
    <t>468.300</t>
  </si>
  <si>
    <t>-19.500</t>
  </si>
  <si>
    <t>75/86</t>
  </si>
  <si>
    <t>308</t>
  </si>
  <si>
    <t>211.600</t>
  </si>
  <si>
    <t>222.100</t>
  </si>
  <si>
    <t>-10.500</t>
  </si>
  <si>
    <t>43/46</t>
  </si>
  <si>
    <t>153А</t>
  </si>
  <si>
    <t>126.000</t>
  </si>
  <si>
    <t>132.320</t>
  </si>
  <si>
    <t>-6.320</t>
  </si>
  <si>
    <t>44</t>
  </si>
  <si>
    <t>181/199</t>
  </si>
  <si>
    <t>160</t>
  </si>
  <si>
    <t>444.400</t>
  </si>
  <si>
    <t>476.690</t>
  </si>
  <si>
    <t>-32.290</t>
  </si>
  <si>
    <t>106/119</t>
  </si>
  <si>
    <t>123</t>
  </si>
  <si>
    <t>340.500</t>
  </si>
  <si>
    <t>367.170</t>
  </si>
  <si>
    <t>-26.670</t>
  </si>
  <si>
    <t>61/68</t>
  </si>
  <si>
    <t>333</t>
  </si>
  <si>
    <t>488.400</t>
  </si>
  <si>
    <t>528.340</t>
  </si>
  <si>
    <t>-39.940</t>
  </si>
  <si>
    <t>102/107</t>
  </si>
  <si>
    <t>289</t>
  </si>
  <si>
    <t>299.494</t>
  </si>
  <si>
    <t>-24.294</t>
  </si>
  <si>
    <t>69/79</t>
  </si>
  <si>
    <t>71</t>
  </si>
  <si>
    <t>600.400</t>
  </si>
  <si>
    <t>668.170</t>
  </si>
  <si>
    <t>-67.770</t>
  </si>
  <si>
    <t>54/69</t>
  </si>
  <si>
    <t>264</t>
  </si>
  <si>
    <t>727.200</t>
  </si>
  <si>
    <t>809.880</t>
  </si>
  <si>
    <t>-82.680</t>
  </si>
  <si>
    <t>139/143</t>
  </si>
  <si>
    <t>117</t>
  </si>
  <si>
    <t>667.800</t>
  </si>
  <si>
    <t>746.690</t>
  </si>
  <si>
    <t>-78.890</t>
  </si>
  <si>
    <t>155/164</t>
  </si>
  <si>
    <t>259</t>
  </si>
  <si>
    <t>344.400</t>
  </si>
  <si>
    <t>386.530</t>
  </si>
  <si>
    <t>-42.130</t>
  </si>
  <si>
    <t>78/84</t>
  </si>
  <si>
    <t>138</t>
  </si>
  <si>
    <t>71/73</t>
  </si>
  <si>
    <t>365</t>
  </si>
  <si>
    <t>69/72</t>
  </si>
  <si>
    <t>52</t>
  </si>
  <si>
    <t>515.400</t>
  </si>
  <si>
    <t>584.740</t>
  </si>
  <si>
    <t>-69.340</t>
  </si>
  <si>
    <t>96/103</t>
  </si>
  <si>
    <t>76B</t>
  </si>
  <si>
    <t>84.000</t>
  </si>
  <si>
    <t>96.730</t>
  </si>
  <si>
    <t>-12.730</t>
  </si>
  <si>
    <t>7/7</t>
  </si>
  <si>
    <t>293</t>
  </si>
  <si>
    <t>1 029.600</t>
  </si>
  <si>
    <t>1 207.820</t>
  </si>
  <si>
    <t>-178.220</t>
  </si>
  <si>
    <t>350</t>
  </si>
  <si>
    <t>288.000</t>
  </si>
  <si>
    <t>339.550</t>
  </si>
  <si>
    <t>-51.550</t>
  </si>
  <si>
    <t>55/61</t>
  </si>
  <si>
    <t>223</t>
  </si>
  <si>
    <t>345.600</t>
  </si>
  <si>
    <t>408.730</t>
  </si>
  <si>
    <t>-63.130</t>
  </si>
  <si>
    <t>65/69</t>
  </si>
  <si>
    <t>156</t>
  </si>
  <si>
    <t>361.200</t>
  </si>
  <si>
    <t>430.040</t>
  </si>
  <si>
    <t>-68.840</t>
  </si>
  <si>
    <t>86/95</t>
  </si>
  <si>
    <t>74</t>
  </si>
  <si>
    <t>279.400</t>
  </si>
  <si>
    <t>332.960</t>
  </si>
  <si>
    <t>-53.560</t>
  </si>
  <si>
    <t>79</t>
  </si>
  <si>
    <t>664.000</t>
  </si>
  <si>
    <t>792.200</t>
  </si>
  <si>
    <t>-128.200</t>
  </si>
  <si>
    <t>64/69</t>
  </si>
  <si>
    <t>341</t>
  </si>
  <si>
    <t>234.000</t>
  </si>
  <si>
    <t>282.060</t>
  </si>
  <si>
    <t>-48.060</t>
  </si>
  <si>
    <t>46/51</t>
  </si>
  <si>
    <t>291</t>
  </si>
  <si>
    <t>208.800</t>
  </si>
  <si>
    <t>251.990</t>
  </si>
  <si>
    <t>-43.190</t>
  </si>
  <si>
    <t>58/65</t>
  </si>
  <si>
    <t>220</t>
  </si>
  <si>
    <t>202.400</t>
  </si>
  <si>
    <t>244.940</t>
  </si>
  <si>
    <t>-42.540</t>
  </si>
  <si>
    <t>42/47</t>
  </si>
  <si>
    <t>282</t>
  </si>
  <si>
    <t>239.700</t>
  </si>
  <si>
    <t>292.550</t>
  </si>
  <si>
    <t>-52.850</t>
  </si>
  <si>
    <t>29/36</t>
  </si>
  <si>
    <t>116A</t>
  </si>
  <si>
    <t>985.600</t>
  </si>
  <si>
    <t>1 203.190</t>
  </si>
  <si>
    <t>-217.590</t>
  </si>
  <si>
    <t>54/77</t>
  </si>
  <si>
    <t>151</t>
  </si>
  <si>
    <t>547.800</t>
  </si>
  <si>
    <t>676.590</t>
  </si>
  <si>
    <t>-128.790</t>
  </si>
  <si>
    <t>73/79</t>
  </si>
  <si>
    <t>233</t>
  </si>
  <si>
    <t>218.400</t>
  </si>
  <si>
    <t>271.940</t>
  </si>
  <si>
    <t>-53.540</t>
  </si>
  <si>
    <t>40/41</t>
  </si>
  <si>
    <t>29A</t>
  </si>
  <si>
    <t>128.000</t>
  </si>
  <si>
    <t>159.790</t>
  </si>
  <si>
    <t>-31.790</t>
  </si>
  <si>
    <t>36/36</t>
  </si>
  <si>
    <t>327</t>
  </si>
  <si>
    <t>341.600</t>
  </si>
  <si>
    <t>426.630</t>
  </si>
  <si>
    <t>-85.030</t>
  </si>
  <si>
    <t>75/78</t>
  </si>
  <si>
    <t>54A</t>
  </si>
  <si>
    <t>230.800</t>
  </si>
  <si>
    <t>289.190</t>
  </si>
  <si>
    <t>-58.390</t>
  </si>
  <si>
    <t>290</t>
  </si>
  <si>
    <t>430.230</t>
  </si>
  <si>
    <t>-87.030</t>
  </si>
  <si>
    <t>88/91</t>
  </si>
  <si>
    <t>60</t>
  </si>
  <si>
    <t>214.400</t>
  </si>
  <si>
    <t>270.820</t>
  </si>
  <si>
    <t>-56.420</t>
  </si>
  <si>
    <t>1A</t>
  </si>
  <si>
    <t>63.600</t>
  </si>
  <si>
    <t>80.380</t>
  </si>
  <si>
    <t>-16.780</t>
  </si>
  <si>
    <t>22/22</t>
  </si>
  <si>
    <t>105</t>
  </si>
  <si>
    <t>468.800</t>
  </si>
  <si>
    <t>597.460</t>
  </si>
  <si>
    <t>-128.660</t>
  </si>
  <si>
    <t>105/107</t>
  </si>
  <si>
    <t>61</t>
  </si>
  <si>
    <t>586.000</t>
  </si>
  <si>
    <t>748.260</t>
  </si>
  <si>
    <t>-162.260</t>
  </si>
  <si>
    <t>160/163</t>
  </si>
  <si>
    <t>214A</t>
  </si>
  <si>
    <t>400.000</t>
  </si>
  <si>
    <t>513.890</t>
  </si>
  <si>
    <t>-113.890</t>
  </si>
  <si>
    <t>67/67</t>
  </si>
  <si>
    <t>57</t>
  </si>
  <si>
    <t>655.200</t>
  </si>
  <si>
    <t>854.480</t>
  </si>
  <si>
    <t>-199.280</t>
  </si>
  <si>
    <t>159/260</t>
  </si>
  <si>
    <t>188</t>
  </si>
  <si>
    <t>70.400</t>
  </si>
  <si>
    <t>92.210</t>
  </si>
  <si>
    <t>-21.810</t>
  </si>
  <si>
    <t>33/33</t>
  </si>
  <si>
    <t>280</t>
  </si>
  <si>
    <t>388.000</t>
  </si>
  <si>
    <t>508.430</t>
  </si>
  <si>
    <t>-120.430</t>
  </si>
  <si>
    <t>355</t>
  </si>
  <si>
    <t>433.800</t>
  </si>
  <si>
    <t>569.780</t>
  </si>
  <si>
    <t>-135.980</t>
  </si>
  <si>
    <t>108/112</t>
  </si>
  <si>
    <t>133</t>
  </si>
  <si>
    <t>553.000</t>
  </si>
  <si>
    <t>727.330</t>
  </si>
  <si>
    <t>-174.330</t>
  </si>
  <si>
    <t>96/109</t>
  </si>
  <si>
    <t>206</t>
  </si>
  <si>
    <t>225.200</t>
  </si>
  <si>
    <t>299.190</t>
  </si>
  <si>
    <t>-73.990</t>
  </si>
  <si>
    <t>60/66</t>
  </si>
  <si>
    <t>194</t>
  </si>
  <si>
    <t>479.400</t>
  </si>
  <si>
    <t>640.700</t>
  </si>
  <si>
    <t>-161.300</t>
  </si>
  <si>
    <t>81/88</t>
  </si>
  <si>
    <t>126</t>
  </si>
  <si>
    <t>108.800</t>
  </si>
  <si>
    <t>145.770</t>
  </si>
  <si>
    <t>-36.970</t>
  </si>
  <si>
    <t>49/51</t>
  </si>
  <si>
    <t>229</t>
  </si>
  <si>
    <t>172.800</t>
  </si>
  <si>
    <t>232.300</t>
  </si>
  <si>
    <t>-59.500</t>
  </si>
  <si>
    <t>35/41</t>
  </si>
  <si>
    <t>321</t>
  </si>
  <si>
    <t>99.200</t>
  </si>
  <si>
    <t>133.910</t>
  </si>
  <si>
    <t>-34.710</t>
  </si>
  <si>
    <t>54/57</t>
  </si>
  <si>
    <t>361</t>
  </si>
  <si>
    <t>193.800</t>
  </si>
  <si>
    <t>265.040</t>
  </si>
  <si>
    <t>-71.240</t>
  </si>
  <si>
    <t>48/55</t>
  </si>
  <si>
    <t>167/1</t>
  </si>
  <si>
    <t>239.200</t>
  </si>
  <si>
    <t>330.860</t>
  </si>
  <si>
    <t>-91.660</t>
  </si>
  <si>
    <t>192</t>
  </si>
  <si>
    <t>622.400</t>
  </si>
  <si>
    <t>865.900</t>
  </si>
  <si>
    <t>-243.500</t>
  </si>
  <si>
    <t>144/170</t>
  </si>
  <si>
    <t>362</t>
  </si>
  <si>
    <t>363.600</t>
  </si>
  <si>
    <t>512.730</t>
  </si>
  <si>
    <t>-149.130</t>
  </si>
  <si>
    <t>87/94</t>
  </si>
  <si>
    <t>226</t>
  </si>
  <si>
    <t>108/124</t>
  </si>
  <si>
    <t>366</t>
  </si>
  <si>
    <t>192.800</t>
  </si>
  <si>
    <t>272.360</t>
  </si>
  <si>
    <t>-79.560</t>
  </si>
  <si>
    <t>55/59</t>
  </si>
  <si>
    <t>81</t>
  </si>
  <si>
    <t>533.500</t>
  </si>
  <si>
    <t>-159.100</t>
  </si>
  <si>
    <t>94/97</t>
  </si>
  <si>
    <t>134A</t>
  </si>
  <si>
    <t>252.400</t>
  </si>
  <si>
    <t>361.590</t>
  </si>
  <si>
    <t>-109.190</t>
  </si>
  <si>
    <t>176</t>
  </si>
  <si>
    <t>326.400</t>
  </si>
  <si>
    <t>468.720</t>
  </si>
  <si>
    <t>-142.320</t>
  </si>
  <si>
    <t>292А</t>
  </si>
  <si>
    <t>220.200</t>
  </si>
  <si>
    <t>316.900</t>
  </si>
  <si>
    <t>-96.700</t>
  </si>
  <si>
    <t>53/81</t>
  </si>
  <si>
    <t>138A</t>
  </si>
  <si>
    <t>52/52</t>
  </si>
  <si>
    <t>214</t>
  </si>
  <si>
    <t>754.800</t>
  </si>
  <si>
    <t>1 097.070</t>
  </si>
  <si>
    <t>-342.270</t>
  </si>
  <si>
    <t>146/162</t>
  </si>
  <si>
    <t>128</t>
  </si>
  <si>
    <t>513.600</t>
  </si>
  <si>
    <t>753.640</t>
  </si>
  <si>
    <t>-240.040</t>
  </si>
  <si>
    <t>89/98</t>
  </si>
  <si>
    <t>65A</t>
  </si>
  <si>
    <t>210.000</t>
  </si>
  <si>
    <t>309.820</t>
  </si>
  <si>
    <t>-99.820</t>
  </si>
  <si>
    <t>58А</t>
  </si>
  <si>
    <t>404.400</t>
  </si>
  <si>
    <t>597.680</t>
  </si>
  <si>
    <t>-193.280</t>
  </si>
  <si>
    <t>103/108</t>
  </si>
  <si>
    <t>104</t>
  </si>
  <si>
    <t>494.400</t>
  </si>
  <si>
    <t>734.620</t>
  </si>
  <si>
    <t>-240.220</t>
  </si>
  <si>
    <t>56/59</t>
  </si>
  <si>
    <t>260</t>
  </si>
  <si>
    <t>87/90</t>
  </si>
  <si>
    <t>122A</t>
  </si>
  <si>
    <t>24/24</t>
  </si>
  <si>
    <t>200</t>
  </si>
  <si>
    <t>324.600</t>
  </si>
  <si>
    <t>496.410</t>
  </si>
  <si>
    <t>-171.810</t>
  </si>
  <si>
    <t>64/72</t>
  </si>
  <si>
    <t>325</t>
  </si>
  <si>
    <t>361.800</t>
  </si>
  <si>
    <t>563.070</t>
  </si>
  <si>
    <t>-201.270</t>
  </si>
  <si>
    <t>51/57</t>
  </si>
  <si>
    <t>83</t>
  </si>
  <si>
    <t>505.200</t>
  </si>
  <si>
    <t>803.014</t>
  </si>
  <si>
    <t>-297.814</t>
  </si>
  <si>
    <t>87/92</t>
  </si>
  <si>
    <t>164</t>
  </si>
  <si>
    <t>165.600</t>
  </si>
  <si>
    <t>266.670</t>
  </si>
  <si>
    <t>-101.070</t>
  </si>
  <si>
    <t>309</t>
  </si>
  <si>
    <t>94.400</t>
  </si>
  <si>
    <t>152.200</t>
  </si>
  <si>
    <t>-57.800</t>
  </si>
  <si>
    <t>7</t>
  </si>
  <si>
    <t>305.400</t>
  </si>
  <si>
    <t>493.970</t>
  </si>
  <si>
    <t>-188.570</t>
  </si>
  <si>
    <t>131A</t>
  </si>
  <si>
    <t>85/89</t>
  </si>
  <si>
    <t>43</t>
  </si>
  <si>
    <t>1 094.800</t>
  </si>
  <si>
    <t>1 800.500</t>
  </si>
  <si>
    <t>-705.700</t>
  </si>
  <si>
    <t>195/207</t>
  </si>
  <si>
    <t>279</t>
  </si>
  <si>
    <t>340.800</t>
  </si>
  <si>
    <t>575.410</t>
  </si>
  <si>
    <t>-234.610</t>
  </si>
  <si>
    <t>62/73</t>
  </si>
  <si>
    <t>90</t>
  </si>
  <si>
    <t>328.400</t>
  </si>
  <si>
    <t>556.790</t>
  </si>
  <si>
    <t>-228.390</t>
  </si>
  <si>
    <t>65/72</t>
  </si>
  <si>
    <t>106</t>
  </si>
  <si>
    <t>657.600</t>
  </si>
  <si>
    <t>1 125.990</t>
  </si>
  <si>
    <t>-468.390</t>
  </si>
  <si>
    <t>127/163</t>
  </si>
  <si>
    <t>86</t>
  </si>
  <si>
    <t>1 185.600</t>
  </si>
  <si>
    <t>2 041.730</t>
  </si>
  <si>
    <t>-856.130</t>
  </si>
  <si>
    <t>8</t>
  </si>
  <si>
    <t>253.200</t>
  </si>
  <si>
    <t>439.590</t>
  </si>
  <si>
    <t>-186.390</t>
  </si>
  <si>
    <t>67/70</t>
  </si>
  <si>
    <t>288</t>
  </si>
  <si>
    <t>596.800</t>
  </si>
  <si>
    <t>1 038.310</t>
  </si>
  <si>
    <t>-441.510</t>
  </si>
  <si>
    <t>105/113</t>
  </si>
  <si>
    <t>134</t>
  </si>
  <si>
    <t>656.000</t>
  </si>
  <si>
    <t>1 148.620</t>
  </si>
  <si>
    <t>-492.620</t>
  </si>
  <si>
    <t>135/174</t>
  </si>
  <si>
    <t>373</t>
  </si>
  <si>
    <t>274.200</t>
  </si>
  <si>
    <t>485.220</t>
  </si>
  <si>
    <t>-211.020</t>
  </si>
  <si>
    <t>81/84</t>
  </si>
  <si>
    <t>264-1</t>
  </si>
  <si>
    <t>122.800</t>
  </si>
  <si>
    <t>218.140</t>
  </si>
  <si>
    <t>-95.340</t>
  </si>
  <si>
    <t>28/29</t>
  </si>
  <si>
    <t>261</t>
  </si>
  <si>
    <t>536.000</t>
  </si>
  <si>
    <t>973.320</t>
  </si>
  <si>
    <t>-437.320</t>
  </si>
  <si>
    <t>91/106</t>
  </si>
  <si>
    <t>334</t>
  </si>
  <si>
    <t>17.000</t>
  </si>
  <si>
    <t>31.000</t>
  </si>
  <si>
    <t>-14.000</t>
  </si>
  <si>
    <t>9/33</t>
  </si>
  <si>
    <t>88</t>
  </si>
  <si>
    <t>440.400</t>
  </si>
  <si>
    <t>804.830</t>
  </si>
  <si>
    <t>-364.430</t>
  </si>
  <si>
    <t>100/104</t>
  </si>
  <si>
    <t>304</t>
  </si>
  <si>
    <t>121/122</t>
  </si>
  <si>
    <t>166</t>
  </si>
  <si>
    <t>88/108</t>
  </si>
  <si>
    <t>125-A</t>
  </si>
  <si>
    <t>156.000</t>
  </si>
  <si>
    <t>294.320</t>
  </si>
  <si>
    <t>-138.320</t>
  </si>
  <si>
    <t>87</t>
  </si>
  <si>
    <t>1 259.200</t>
  </si>
  <si>
    <t>2 391.620</t>
  </si>
  <si>
    <t>-1 132.420</t>
  </si>
  <si>
    <t>164/171</t>
  </si>
  <si>
    <t>82</t>
  </si>
  <si>
    <t>523.600</t>
  </si>
  <si>
    <t>1 062.130</t>
  </si>
  <si>
    <t>-538.530</t>
  </si>
  <si>
    <t>179/198</t>
  </si>
  <si>
    <t>150A</t>
  </si>
  <si>
    <t>242.400</t>
  </si>
  <si>
    <t>495.600</t>
  </si>
  <si>
    <t>-253.200</t>
  </si>
  <si>
    <t>50/54</t>
  </si>
  <si>
    <t>385</t>
  </si>
  <si>
    <t>9.600</t>
  </si>
  <si>
    <t>19.680</t>
  </si>
  <si>
    <t>-10.080</t>
  </si>
  <si>
    <t>6</t>
  </si>
  <si>
    <t>139.200</t>
  </si>
  <si>
    <t>286.760</t>
  </si>
  <si>
    <t>-147.560</t>
  </si>
  <si>
    <t>26/35</t>
  </si>
  <si>
    <t>42</t>
  </si>
  <si>
    <t>705.600</t>
  </si>
  <si>
    <t>1 460.640</t>
  </si>
  <si>
    <t>-755.040</t>
  </si>
  <si>
    <t>185/205</t>
  </si>
  <si>
    <t>36</t>
  </si>
  <si>
    <t>274.400</t>
  </si>
  <si>
    <t>569.200</t>
  </si>
  <si>
    <t>-294.800</t>
  </si>
  <si>
    <t>29/147</t>
  </si>
  <si>
    <t>28</t>
  </si>
  <si>
    <t>241.600</t>
  </si>
  <si>
    <t>505.800</t>
  </si>
  <si>
    <t>-264.200</t>
  </si>
  <si>
    <t>18/19</t>
  </si>
  <si>
    <t>193</t>
  </si>
  <si>
    <t>235.200</t>
  </si>
  <si>
    <t>507.980</t>
  </si>
  <si>
    <t>-272.780</t>
  </si>
  <si>
    <t>68/79</t>
  </si>
  <si>
    <t>209</t>
  </si>
  <si>
    <t>132.800</t>
  </si>
  <si>
    <t>290.430</t>
  </si>
  <si>
    <t>-157.630</t>
  </si>
  <si>
    <t>41/49</t>
  </si>
  <si>
    <t>258</t>
  </si>
  <si>
    <t>342.400</t>
  </si>
  <si>
    <t>761.380</t>
  </si>
  <si>
    <t>-418.980</t>
  </si>
  <si>
    <t>57/80</t>
  </si>
  <si>
    <t>215</t>
  </si>
  <si>
    <t>1 016.890</t>
  </si>
  <si>
    <t>-568.090</t>
  </si>
  <si>
    <t>101/126</t>
  </si>
  <si>
    <t>302</t>
  </si>
  <si>
    <t>98.000</t>
  </si>
  <si>
    <t>232.010</t>
  </si>
  <si>
    <t>-134.010</t>
  </si>
  <si>
    <t>50/53</t>
  </si>
  <si>
    <t>197</t>
  </si>
  <si>
    <t>156.800</t>
  </si>
  <si>
    <t>373.780</t>
  </si>
  <si>
    <t>-216.980</t>
  </si>
  <si>
    <t>24/26</t>
  </si>
  <si>
    <t>76A</t>
  </si>
  <si>
    <t>549.340</t>
  </si>
  <si>
    <t>-321.340</t>
  </si>
  <si>
    <t>141/147</t>
  </si>
  <si>
    <t>58</t>
  </si>
  <si>
    <t>324.400</t>
  </si>
  <si>
    <t>801.920</t>
  </si>
  <si>
    <t>-477.520</t>
  </si>
  <si>
    <t>174/185</t>
  </si>
  <si>
    <t>75</t>
  </si>
  <si>
    <t>221.600</t>
  </si>
  <si>
    <t>553.730</t>
  </si>
  <si>
    <t>-332.130</t>
  </si>
  <si>
    <t>111/112</t>
  </si>
  <si>
    <t>131</t>
  </si>
  <si>
    <t>85/104</t>
  </si>
  <si>
    <t>224</t>
  </si>
  <si>
    <t>368.800</t>
  </si>
  <si>
    <t>942.090</t>
  </si>
  <si>
    <t>-573.290</t>
  </si>
  <si>
    <t>105/110</t>
  </si>
  <si>
    <t>72</t>
  </si>
  <si>
    <t>414.000</t>
  </si>
  <si>
    <t>1 062.677</t>
  </si>
  <si>
    <t>-648.677</t>
  </si>
  <si>
    <t>83/113</t>
  </si>
  <si>
    <t>97</t>
  </si>
  <si>
    <t>703.790</t>
  </si>
  <si>
    <t>-440.990</t>
  </si>
  <si>
    <t>63/66</t>
  </si>
  <si>
    <t>89</t>
  </si>
  <si>
    <t>77/88</t>
  </si>
  <si>
    <t>287</t>
  </si>
  <si>
    <t>4/14</t>
  </si>
  <si>
    <t>363</t>
  </si>
  <si>
    <t>21.600</t>
  </si>
  <si>
    <t>61.620</t>
  </si>
  <si>
    <t>-40.020</t>
  </si>
  <si>
    <t>13/40</t>
  </si>
  <si>
    <t>336</t>
  </si>
  <si>
    <t>707.500</t>
  </si>
  <si>
    <t>2 022.500</t>
  </si>
  <si>
    <t>-1 315.000</t>
  </si>
  <si>
    <t>115/126</t>
  </si>
  <si>
    <t>125</t>
  </si>
  <si>
    <t>167.800</t>
  </si>
  <si>
    <t>487.920</t>
  </si>
  <si>
    <t>-320.120</t>
  </si>
  <si>
    <t>64/65</t>
  </si>
  <si>
    <t>28A</t>
  </si>
  <si>
    <t>202.800</t>
  </si>
  <si>
    <t>590.270</t>
  </si>
  <si>
    <t>-387.470</t>
  </si>
  <si>
    <t>10/14</t>
  </si>
  <si>
    <t>170</t>
  </si>
  <si>
    <t>152/158</t>
  </si>
  <si>
    <t>222</t>
  </si>
  <si>
    <t>553.200</t>
  </si>
  <si>
    <t>1 622.900</t>
  </si>
  <si>
    <t>-1 069.700</t>
  </si>
  <si>
    <t>86/94</t>
  </si>
  <si>
    <t>158</t>
  </si>
  <si>
    <t>66.800</t>
  </si>
  <si>
    <t>219.500</t>
  </si>
  <si>
    <t>-152.700</t>
  </si>
  <si>
    <t>315</t>
  </si>
  <si>
    <t>42/44</t>
  </si>
  <si>
    <t>29</t>
  </si>
  <si>
    <t>180.800</t>
  </si>
  <si>
    <t>606.990</t>
  </si>
  <si>
    <t>-426.190</t>
  </si>
  <si>
    <t>41/45</t>
  </si>
  <si>
    <t>94</t>
  </si>
  <si>
    <t>276.000</t>
  </si>
  <si>
    <t>934.300</t>
  </si>
  <si>
    <t>-658.300</t>
  </si>
  <si>
    <t>45/57</t>
  </si>
  <si>
    <t>83A</t>
  </si>
  <si>
    <t>7.800</t>
  </si>
  <si>
    <t>27.410</t>
  </si>
  <si>
    <t>-19.610</t>
  </si>
  <si>
    <t>14/14</t>
  </si>
  <si>
    <t>387</t>
  </si>
  <si>
    <t>8.400</t>
  </si>
  <si>
    <t>31.640</t>
  </si>
  <si>
    <t>-23.240</t>
  </si>
  <si>
    <t>12/14</t>
  </si>
  <si>
    <t>66</t>
  </si>
  <si>
    <t>143/148</t>
  </si>
  <si>
    <t>295</t>
  </si>
  <si>
    <t>345.200</t>
  </si>
  <si>
    <t>1 409.340</t>
  </si>
  <si>
    <t>-1 064.140</t>
  </si>
  <si>
    <t>84/97</t>
  </si>
  <si>
    <t>326</t>
  </si>
  <si>
    <t>20.000</t>
  </si>
  <si>
    <t>85.310</t>
  </si>
  <si>
    <t>-65.310</t>
  </si>
  <si>
    <t>29/33</t>
  </si>
  <si>
    <t>99</t>
  </si>
  <si>
    <t>108.600</t>
  </si>
  <si>
    <t>474.050</t>
  </si>
  <si>
    <t>-365.450</t>
  </si>
  <si>
    <t>25/26</t>
  </si>
  <si>
    <t>358</t>
  </si>
  <si>
    <t>207.600</t>
  </si>
  <si>
    <t>1 011.340</t>
  </si>
  <si>
    <t>-803.740</t>
  </si>
  <si>
    <t>30/33</t>
  </si>
  <si>
    <t>181</t>
  </si>
  <si>
    <t>744.600</t>
  </si>
  <si>
    <t>4 107.630</t>
  </si>
  <si>
    <t>-3 363.030</t>
  </si>
  <si>
    <t>69/78</t>
  </si>
  <si>
    <t>354</t>
  </si>
  <si>
    <t>16.200</t>
  </si>
  <si>
    <t>119.327</t>
  </si>
  <si>
    <t>-103.127</t>
  </si>
  <si>
    <t>37/38</t>
  </si>
  <si>
    <t>328</t>
  </si>
  <si>
    <t>12.000</t>
  </si>
  <si>
    <t>88.610</t>
  </si>
  <si>
    <t>-76.610</t>
  </si>
  <si>
    <t>30</t>
  </si>
  <si>
    <t>150.600</t>
  </si>
  <si>
    <t>1 153.120</t>
  </si>
  <si>
    <t>-1 002.520</t>
  </si>
  <si>
    <t>79/80</t>
  </si>
  <si>
    <t>187</t>
  </si>
  <si>
    <t>2 619.560</t>
  </si>
  <si>
    <t>-2 300.360</t>
  </si>
  <si>
    <t>53/60</t>
  </si>
  <si>
    <t>337</t>
  </si>
  <si>
    <t>25.200</t>
  </si>
  <si>
    <t>237.900</t>
  </si>
  <si>
    <t>-212.700</t>
  </si>
  <si>
    <t>30/35</t>
  </si>
  <si>
    <t>73</t>
  </si>
  <si>
    <t>64.400</t>
  </si>
  <si>
    <t>679.770</t>
  </si>
  <si>
    <t>-615.370</t>
  </si>
  <si>
    <t>110/112</t>
  </si>
  <si>
    <t>12</t>
  </si>
  <si>
    <t>38.800</t>
  </si>
  <si>
    <t>432.530</t>
  </si>
  <si>
    <t>-393.730</t>
  </si>
  <si>
    <t>48/57</t>
  </si>
  <si>
    <t>166А</t>
  </si>
  <si>
    <t>452.400</t>
  </si>
  <si>
    <t>9 439.480</t>
  </si>
  <si>
    <t>-8 987.080</t>
  </si>
  <si>
    <t>8/9</t>
  </si>
  <si>
    <t>329</t>
  </si>
  <si>
    <t>38/39</t>
  </si>
  <si>
    <t>136</t>
  </si>
  <si>
    <t>5.600</t>
  </si>
  <si>
    <t>216.700</t>
  </si>
  <si>
    <t>-211.100</t>
  </si>
  <si>
    <t>33/35</t>
  </si>
  <si>
    <t>130</t>
  </si>
  <si>
    <t>15.200</t>
  </si>
  <si>
    <t>701.350</t>
  </si>
  <si>
    <t>-686.150</t>
  </si>
  <si>
    <t>311</t>
  </si>
  <si>
    <t>6.800</t>
  </si>
  <si>
    <t>800.020</t>
  </si>
  <si>
    <t>-793.220</t>
  </si>
  <si>
    <t>57/58</t>
  </si>
  <si>
    <t>118</t>
  </si>
  <si>
    <t>0.800</t>
  </si>
  <si>
    <t>360.500</t>
  </si>
  <si>
    <t>-359.700</t>
  </si>
  <si>
    <t>253A</t>
  </si>
  <si>
    <t>/</t>
  </si>
  <si>
    <t>421</t>
  </si>
  <si>
    <t>470</t>
  </si>
  <si>
    <t>456</t>
  </si>
  <si>
    <t>457</t>
  </si>
  <si>
    <t>461</t>
  </si>
  <si>
    <t>235</t>
  </si>
  <si>
    <t>465</t>
  </si>
  <si>
    <t>474</t>
  </si>
  <si>
    <t>5</t>
  </si>
  <si>
    <t>103</t>
  </si>
  <si>
    <t>211</t>
  </si>
  <si>
    <t>262</t>
  </si>
  <si>
    <t>59</t>
  </si>
  <si>
    <t>22</t>
  </si>
  <si>
    <t>466</t>
  </si>
  <si>
    <t>472</t>
  </si>
  <si>
    <t>212</t>
  </si>
  <si>
    <t>464</t>
  </si>
  <si>
    <t>483</t>
  </si>
  <si>
    <t>490</t>
  </si>
  <si>
    <t>487</t>
  </si>
  <si>
    <t>488</t>
  </si>
  <si>
    <t>478</t>
  </si>
  <si>
    <t>335</t>
  </si>
  <si>
    <t>301</t>
  </si>
  <si>
    <t>480</t>
  </si>
  <si>
    <t>163A</t>
  </si>
  <si>
    <t>156A</t>
  </si>
  <si>
    <t>297</t>
  </si>
  <si>
    <t>ТП НОМИ</t>
  </si>
  <si>
    <t>САНА</t>
  </si>
  <si>
    <t>Баланкс хисоблагич</t>
  </si>
  <si>
    <t>Бриктирилган истеъмолчилардан йиғилган кВт</t>
  </si>
  <si>
    <t>Тармоқдаги йўқотиш</t>
  </si>
  <si>
    <t>Бриктирилган истеъмолчилар</t>
  </si>
  <si>
    <t>Тармоқдаги йўқотиш фоизда</t>
  </si>
  <si>
    <t>Жами</t>
  </si>
  <si>
    <t>Баланс хисоблагичдан йигилган  кВт/с</t>
  </si>
  <si>
    <t>Хатловдан кейин</t>
  </si>
  <si>
    <t>Баланс хисоблагич носоз</t>
  </si>
  <si>
    <t>Баланс хисоблагич тока трансформатори носоз</t>
  </si>
  <si>
    <t>Аниқланган камчиликлар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</si>
</sst>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indexed="8"/>
      <name val="Calibri"/>
      <family val="2"/>
      <scheme val="minor"/>
    </font>
    <font>
      <b/>
      <sz val="22"/>
      <color indexed="8"/>
      <name val="Calibri"/>
      <family val="2"/>
      <charset val="204"/>
    </font>
    <font>
      <b/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b/>
      <sz val="14"/>
      <color indexed="8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2"/>
      <color indexed="8"/>
      <name val="Calibri"/>
      <family val="2"/>
      <charset val="204"/>
    </font>
    <font>
      <sz val="10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" fontId="6" fillId="0" borderId="2" xfId="0" applyNumberFormat="1" applyFont="1" applyBorder="1" applyAlignment="1">
      <alignment horizontal="center" vertical="center"/>
    </xf>
    <xf numFmtId="4" fontId="7" fillId="0" borderId="2" xfId="0" applyNumberFormat="1" applyFont="1" applyBorder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/>
    </xf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164" fontId="8" fillId="0" borderId="2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0" fillId="0" borderId="2" xfId="0" applyBorder="1"/>
    <xf numFmtId="0" fontId="11" fillId="0" borderId="2" xfId="0" applyFont="1" applyBorder="1" applyAlignment="1">
      <alignment horizontal="center"/>
    </xf>
    <xf numFmtId="4" fontId="11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/>
    </xf>
    <xf numFmtId="14" fontId="13" fillId="0" borderId="2" xfId="0" applyNumberFormat="1" applyFont="1" applyBorder="1" applyAlignment="1">
      <alignment horizontal="center" vertical="center"/>
    </xf>
    <xf numFmtId="164" fontId="0" fillId="0" borderId="0" xfId="0" applyNumberFormat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Обычный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F5E5-AD2A-45E4-BB4A-C1C7EA8B683B}">
  <dimension ref="A1:N12"/>
  <sheetViews>
    <sheetView view="pageBreakPreview" zoomScale="60" zoomScaleNormal="100" workbookViewId="0">
      <selection activeCell="H12" sqref="H12"/>
    </sheetView>
  </sheetViews>
  <sheetFormatPr defaultRowHeight="15" x14ac:dyDescent="0.25"/>
  <cols>
    <col min="1" max="1" width="7.85546875" style="10" customWidth="1"/>
    <col min="2" max="2" width="13.7109375" style="10" customWidth="1"/>
    <col min="3" max="3" width="21.140625" style="10" customWidth="1"/>
    <col min="4" max="4" width="19.5703125" style="10" customWidth="1"/>
    <col min="5" max="5" width="19.85546875" style="10" customWidth="1"/>
    <col min="6" max="6" width="20.7109375" style="10" customWidth="1"/>
    <col min="7" max="7" width="16.7109375" style="10" customWidth="1"/>
    <col min="8" max="8" width="13.5703125" style="10" bestFit="1" customWidth="1"/>
    <col min="9" max="9" width="17" style="10" customWidth="1"/>
    <col min="10" max="10" width="16.7109375" style="10" customWidth="1"/>
    <col min="11" max="11" width="18.28515625" style="10" customWidth="1"/>
    <col min="12" max="12" width="18" style="10" customWidth="1"/>
    <col min="13" max="13" width="15" style="10" customWidth="1"/>
    <col min="14" max="16384" width="9.140625" style="10"/>
  </cols>
  <sheetData>
    <row r="1" spans="1:14" ht="28.5" customHeight="1" x14ac:dyDescent="0.25">
      <c r="A1" s="34" t="s">
        <v>0</v>
      </c>
      <c r="B1" s="35"/>
      <c r="C1" s="35"/>
      <c r="D1" s="35"/>
      <c r="E1" s="35"/>
      <c r="F1" s="35"/>
      <c r="G1" s="35"/>
      <c r="H1" s="35"/>
    </row>
    <row r="2" spans="1:14" ht="28.5" customHeight="1" x14ac:dyDescent="0.25">
      <c r="A2" s="36" t="s">
        <v>1</v>
      </c>
      <c r="B2" s="36"/>
      <c r="C2" s="36"/>
      <c r="D2" s="36"/>
      <c r="E2" s="36"/>
      <c r="F2" s="36"/>
      <c r="G2" s="12"/>
      <c r="H2" s="12"/>
    </row>
    <row r="3" spans="1:14" s="13" customFormat="1" ht="69.75" customHeight="1" x14ac:dyDescent="0.25">
      <c r="A3" s="32" t="s">
        <v>2</v>
      </c>
      <c r="B3" s="32" t="s">
        <v>1361</v>
      </c>
      <c r="C3" s="32" t="s">
        <v>1362</v>
      </c>
      <c r="D3" s="32" t="s">
        <v>1369</v>
      </c>
      <c r="E3" s="32" t="s">
        <v>1364</v>
      </c>
      <c r="F3" s="14" t="s">
        <v>1365</v>
      </c>
      <c r="G3" s="14" t="s">
        <v>1367</v>
      </c>
      <c r="H3" s="32" t="s">
        <v>1370</v>
      </c>
      <c r="I3" s="32" t="s">
        <v>1362</v>
      </c>
      <c r="J3" s="32" t="s">
        <v>1369</v>
      </c>
      <c r="K3" s="32" t="s">
        <v>1364</v>
      </c>
      <c r="L3" s="14" t="s">
        <v>1365</v>
      </c>
      <c r="M3" s="14" t="s">
        <v>1367</v>
      </c>
    </row>
    <row r="4" spans="1:14" ht="18.75" customHeight="1" x14ac:dyDescent="0.25">
      <c r="A4" s="35"/>
      <c r="B4" s="33"/>
      <c r="C4" s="33"/>
      <c r="D4" s="33"/>
      <c r="E4" s="33"/>
      <c r="F4" s="11" t="s">
        <v>3</v>
      </c>
      <c r="G4" s="11"/>
      <c r="H4" s="33"/>
      <c r="I4" s="33"/>
      <c r="J4" s="33"/>
      <c r="K4" s="33"/>
      <c r="L4" s="11" t="s">
        <v>3</v>
      </c>
      <c r="M4" s="11"/>
    </row>
    <row r="5" spans="1:14" ht="18.75" customHeight="1" x14ac:dyDescent="0.25">
      <c r="A5" s="9">
        <v>44</v>
      </c>
      <c r="B5" s="22" t="s">
        <v>193</v>
      </c>
      <c r="C5" s="29">
        <v>46236</v>
      </c>
      <c r="D5" s="15">
        <v>1020.6</v>
      </c>
      <c r="E5" s="6">
        <v>668.18</v>
      </c>
      <c r="F5" s="7">
        <v>352.42</v>
      </c>
      <c r="G5" s="23">
        <f>+F5/D5%</f>
        <v>34.530668234371944</v>
      </c>
      <c r="H5" s="8" t="s">
        <v>194</v>
      </c>
      <c r="I5" s="30">
        <v>46239</v>
      </c>
      <c r="J5" s="7">
        <v>834</v>
      </c>
      <c r="K5" s="7">
        <v>701</v>
      </c>
      <c r="L5" s="7">
        <v>132</v>
      </c>
      <c r="M5" s="23">
        <f>+L5/J5%</f>
        <v>15.827338129496404</v>
      </c>
    </row>
    <row r="6" spans="1:14" ht="18.75" customHeight="1" x14ac:dyDescent="0.25">
      <c r="A6" s="9">
        <v>70</v>
      </c>
      <c r="B6" s="22" t="s">
        <v>295</v>
      </c>
      <c r="C6" s="29">
        <v>46236</v>
      </c>
      <c r="D6" s="15">
        <v>1316</v>
      </c>
      <c r="E6" s="16">
        <v>1073.05</v>
      </c>
      <c r="F6" s="7">
        <v>242.95</v>
      </c>
      <c r="G6" s="23">
        <f t="shared" ref="G6:G12" si="0">+F6/D6%</f>
        <v>18.461246200607903</v>
      </c>
      <c r="H6" s="8" t="s">
        <v>296</v>
      </c>
      <c r="I6" s="30">
        <v>46239</v>
      </c>
      <c r="J6" s="7">
        <v>1115.2</v>
      </c>
      <c r="K6" s="7">
        <v>941.88</v>
      </c>
      <c r="L6" s="7">
        <f>+J6-K6</f>
        <v>173.32000000000005</v>
      </c>
      <c r="M6" s="23">
        <f>+L6/J6%</f>
        <v>15.541606886657105</v>
      </c>
    </row>
    <row r="7" spans="1:14" ht="18.75" customHeight="1" x14ac:dyDescent="0.25">
      <c r="A7" s="9">
        <v>241</v>
      </c>
      <c r="B7" s="22" t="s">
        <v>935</v>
      </c>
      <c r="C7" s="29">
        <v>46236</v>
      </c>
      <c r="D7" s="15">
        <v>2062.4</v>
      </c>
      <c r="E7" s="16">
        <v>2912.82</v>
      </c>
      <c r="F7" s="7">
        <v>-850.42</v>
      </c>
      <c r="G7" s="23">
        <f t="shared" si="0"/>
        <v>-41.234484096198599</v>
      </c>
      <c r="H7" s="8" t="s">
        <v>936</v>
      </c>
      <c r="I7" s="30">
        <v>46239</v>
      </c>
      <c r="J7" s="7">
        <v>1875.2</v>
      </c>
      <c r="K7" s="7">
        <v>2085.14</v>
      </c>
      <c r="L7" s="7">
        <f t="shared" ref="L7:L11" si="1">+J7-K7</f>
        <v>-209.93999999999983</v>
      </c>
      <c r="M7" s="23">
        <f t="shared" ref="M7:M12" si="2">+L7/J7%</f>
        <v>-11.195605802047773</v>
      </c>
    </row>
    <row r="8" spans="1:14" ht="18.75" customHeight="1" x14ac:dyDescent="0.25">
      <c r="A8" s="9">
        <v>299</v>
      </c>
      <c r="B8" s="22" t="s">
        <v>1188</v>
      </c>
      <c r="C8" s="29">
        <v>46236</v>
      </c>
      <c r="D8" s="5">
        <v>660.8</v>
      </c>
      <c r="E8" s="16">
        <v>1802.22</v>
      </c>
      <c r="F8" s="17">
        <v>-1141.42</v>
      </c>
      <c r="G8" s="23">
        <f t="shared" si="0"/>
        <v>-172.73305084745763</v>
      </c>
      <c r="H8" s="8" t="s">
        <v>1189</v>
      </c>
      <c r="I8" s="30">
        <v>46239</v>
      </c>
      <c r="J8" s="7">
        <v>533.20000000000005</v>
      </c>
      <c r="K8" s="7">
        <v>1030.8800000000001</v>
      </c>
      <c r="L8" s="7">
        <f t="shared" si="1"/>
        <v>-497.68000000000006</v>
      </c>
      <c r="M8" s="23">
        <f t="shared" si="2"/>
        <v>-93.338334583645917</v>
      </c>
    </row>
    <row r="9" spans="1:14" ht="18.75" customHeight="1" x14ac:dyDescent="0.25">
      <c r="A9" s="9">
        <v>305</v>
      </c>
      <c r="B9" s="22" t="s">
        <v>1212</v>
      </c>
      <c r="C9" s="29">
        <v>46236</v>
      </c>
      <c r="D9" s="5">
        <v>350.8</v>
      </c>
      <c r="E9" s="16">
        <v>1028.3219999999999</v>
      </c>
      <c r="F9" s="7">
        <v>-677.52200000000005</v>
      </c>
      <c r="G9" s="23">
        <f t="shared" si="0"/>
        <v>-193.13625997719501</v>
      </c>
      <c r="H9" s="8" t="s">
        <v>1213</v>
      </c>
      <c r="I9" s="30">
        <v>46239</v>
      </c>
      <c r="J9" s="7">
        <v>302</v>
      </c>
      <c r="K9" s="7">
        <v>532</v>
      </c>
      <c r="L9" s="7">
        <f t="shared" si="1"/>
        <v>-230</v>
      </c>
      <c r="M9" s="23">
        <f t="shared" si="2"/>
        <v>-76.158940397350989</v>
      </c>
    </row>
    <row r="10" spans="1:14" ht="18.75" customHeight="1" x14ac:dyDescent="0.25">
      <c r="A10" s="9">
        <v>313</v>
      </c>
      <c r="B10" s="22" t="s">
        <v>1245</v>
      </c>
      <c r="C10" s="29">
        <v>46236</v>
      </c>
      <c r="D10" s="15">
        <v>1050</v>
      </c>
      <c r="E10" s="16">
        <v>4065.35</v>
      </c>
      <c r="F10" s="17">
        <v>-3015.35</v>
      </c>
      <c r="G10" s="23">
        <f t="shared" si="0"/>
        <v>-287.17619047619047</v>
      </c>
      <c r="H10" s="8" t="s">
        <v>1246</v>
      </c>
      <c r="I10" s="30">
        <v>46239</v>
      </c>
      <c r="J10" s="7">
        <v>852</v>
      </c>
      <c r="K10" s="7">
        <v>1708</v>
      </c>
      <c r="L10" s="7">
        <f t="shared" si="1"/>
        <v>-856</v>
      </c>
      <c r="M10" s="23">
        <f t="shared" si="2"/>
        <v>-100.46948356807512</v>
      </c>
    </row>
    <row r="11" spans="1:14" ht="18.75" customHeight="1" x14ac:dyDescent="0.25">
      <c r="A11" s="9">
        <v>326</v>
      </c>
      <c r="B11" s="3" t="s">
        <v>1084</v>
      </c>
      <c r="C11" s="4" t="s">
        <v>5</v>
      </c>
      <c r="D11" s="5">
        <v>812.4</v>
      </c>
      <c r="E11" s="16">
        <v>1530.61</v>
      </c>
      <c r="F11" s="7">
        <v>-718.21</v>
      </c>
      <c r="G11" s="23">
        <f t="shared" si="0"/>
        <v>-88.405957656326933</v>
      </c>
      <c r="H11" s="8" t="s">
        <v>1309</v>
      </c>
      <c r="I11" s="24">
        <v>46239</v>
      </c>
      <c r="J11" s="7">
        <v>975</v>
      </c>
      <c r="K11" s="7">
        <v>1065</v>
      </c>
      <c r="L11" s="7">
        <f t="shared" si="1"/>
        <v>-90</v>
      </c>
      <c r="M11" s="23">
        <f t="shared" si="2"/>
        <v>-9.2307692307692299</v>
      </c>
    </row>
    <row r="12" spans="1:14" ht="18.75" x14ac:dyDescent="0.3">
      <c r="A12" s="25"/>
      <c r="B12" s="25"/>
      <c r="C12" s="26" t="s">
        <v>1368</v>
      </c>
      <c r="D12" s="27">
        <f>SUM(D5:D11)</f>
        <v>7273</v>
      </c>
      <c r="E12" s="27">
        <f>SUM(E5:E11)</f>
        <v>13080.552000000001</v>
      </c>
      <c r="F12" s="27">
        <f>SUM(F5:F11)</f>
        <v>-5807.5520000000006</v>
      </c>
      <c r="G12" s="28">
        <f t="shared" si="0"/>
        <v>-79.850845593290259</v>
      </c>
      <c r="H12" s="26"/>
      <c r="I12" s="26"/>
      <c r="J12" s="27">
        <f t="shared" ref="J12:L12" si="3">SUM(J5:J11)</f>
        <v>6486.6</v>
      </c>
      <c r="K12" s="27">
        <f t="shared" si="3"/>
        <v>8063.9</v>
      </c>
      <c r="L12" s="27">
        <f t="shared" si="3"/>
        <v>-1578.2999999999997</v>
      </c>
      <c r="M12" s="28">
        <f t="shared" si="2"/>
        <v>-24.331699195264079</v>
      </c>
      <c r="N12" s="31"/>
    </row>
  </sheetData>
  <autoFilter ref="A4:H11" xr:uid="{93598724-FD0C-4178-9D5B-009F54AC8FF5}"/>
  <mergeCells count="12">
    <mergeCell ref="I3:I4"/>
    <mergeCell ref="J3:J4"/>
    <mergeCell ref="K3:K4"/>
    <mergeCell ref="A1:H1"/>
    <mergeCell ref="A2:B2"/>
    <mergeCell ref="C2:F2"/>
    <mergeCell ref="A3:A4"/>
    <mergeCell ref="B3:B4"/>
    <mergeCell ref="C3:C4"/>
    <mergeCell ref="D3:D4"/>
    <mergeCell ref="E3:E4"/>
    <mergeCell ref="H3:H4"/>
  </mergeCells>
  <pageMargins left="0.25" right="0.25" top="0.75" bottom="0.75" header="0.3" footer="0.3"/>
  <pageSetup paperSize="9" scale="6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65"/>
  <sheetViews>
    <sheetView zoomScaleNormal="100" workbookViewId="0">
      <selection activeCell="B371" sqref="B371"/>
    </sheetView>
  </sheetViews>
  <sheetFormatPr defaultRowHeight="15" x14ac:dyDescent="0.25"/>
  <cols>
    <col min="1" max="1" width="7.85546875" customWidth="1"/>
    <col min="2" max="4" width="23.42578125" customWidth="1"/>
    <col min="5" max="5" width="21.5703125" customWidth="1"/>
    <col min="6" max="7" width="23.42578125" customWidth="1"/>
  </cols>
  <sheetData>
    <row r="1" spans="1:7" ht="28.5" customHeight="1" x14ac:dyDescent="0.25">
      <c r="A1" s="34" t="s">
        <v>0</v>
      </c>
      <c r="B1" s="35"/>
      <c r="C1" s="35"/>
      <c r="D1" s="35"/>
      <c r="E1" s="35"/>
      <c r="F1" s="35"/>
      <c r="G1" s="35"/>
    </row>
    <row r="2" spans="1:7" ht="28.5" customHeight="1" x14ac:dyDescent="0.25">
      <c r="A2" s="36" t="s">
        <v>1</v>
      </c>
      <c r="B2" s="36"/>
      <c r="C2" s="36"/>
      <c r="D2" s="36"/>
      <c r="E2" s="36"/>
      <c r="F2" s="36"/>
      <c r="G2" s="1"/>
    </row>
    <row r="3" spans="1:7" s="13" customFormat="1" ht="69.75" customHeight="1" x14ac:dyDescent="0.25">
      <c r="A3" s="32" t="s">
        <v>2</v>
      </c>
      <c r="B3" s="32" t="s">
        <v>1361</v>
      </c>
      <c r="C3" s="32" t="s">
        <v>1362</v>
      </c>
      <c r="D3" s="32" t="s">
        <v>1363</v>
      </c>
      <c r="E3" s="32" t="s">
        <v>1364</v>
      </c>
      <c r="F3" s="14" t="s">
        <v>1365</v>
      </c>
      <c r="G3" s="32" t="s">
        <v>1366</v>
      </c>
    </row>
    <row r="4" spans="1:7" ht="18.75" hidden="1" customHeight="1" x14ac:dyDescent="0.25">
      <c r="A4" s="35"/>
      <c r="B4" s="33"/>
      <c r="C4" s="33"/>
      <c r="D4" s="33"/>
      <c r="E4" s="33"/>
      <c r="F4" s="2" t="s">
        <v>3</v>
      </c>
      <c r="G4" s="33"/>
    </row>
    <row r="5" spans="1:7" ht="18.75" customHeight="1" x14ac:dyDescent="0.25">
      <c r="A5" s="9">
        <v>9</v>
      </c>
      <c r="B5" s="3" t="s">
        <v>40</v>
      </c>
      <c r="C5" s="4" t="s">
        <v>5</v>
      </c>
      <c r="D5" s="5" t="s">
        <v>41</v>
      </c>
      <c r="E5" s="6" t="s">
        <v>42</v>
      </c>
      <c r="F5" s="7" t="s">
        <v>43</v>
      </c>
      <c r="G5" s="8" t="s">
        <v>44</v>
      </c>
    </row>
    <row r="6" spans="1:7" ht="18.75" customHeight="1" x14ac:dyDescent="0.25">
      <c r="A6" s="9">
        <v>175</v>
      </c>
      <c r="B6" s="3" t="s">
        <v>641</v>
      </c>
      <c r="C6" s="4" t="s">
        <v>5</v>
      </c>
      <c r="D6" s="5" t="s">
        <v>8</v>
      </c>
      <c r="E6" s="6" t="s">
        <v>8</v>
      </c>
      <c r="F6" s="7" t="s">
        <v>8</v>
      </c>
      <c r="G6" s="8" t="s">
        <v>493</v>
      </c>
    </row>
    <row r="7" spans="1:7" ht="18.75" customHeight="1" x14ac:dyDescent="0.25">
      <c r="A7" s="9">
        <v>341</v>
      </c>
      <c r="B7" s="3" t="s">
        <v>1340</v>
      </c>
      <c r="C7" s="4" t="s">
        <v>5</v>
      </c>
      <c r="D7" s="5"/>
      <c r="E7" s="6"/>
      <c r="F7" s="7"/>
      <c r="G7" s="8" t="s">
        <v>1331</v>
      </c>
    </row>
    <row r="8" spans="1:7" ht="18.75" customHeight="1" x14ac:dyDescent="0.25">
      <c r="A8" s="9">
        <v>282</v>
      </c>
      <c r="B8" s="3" t="s">
        <v>1109</v>
      </c>
      <c r="C8" s="4" t="s">
        <v>5</v>
      </c>
      <c r="D8" s="5" t="s">
        <v>1110</v>
      </c>
      <c r="E8" s="6" t="s">
        <v>1111</v>
      </c>
      <c r="F8" s="7" t="s">
        <v>1112</v>
      </c>
      <c r="G8" s="8" t="s">
        <v>1113</v>
      </c>
    </row>
    <row r="9" spans="1:7" ht="18.75" customHeight="1" x14ac:dyDescent="0.25">
      <c r="A9" s="9">
        <v>260</v>
      </c>
      <c r="B9" s="3" t="s">
        <v>1012</v>
      </c>
      <c r="C9" s="4" t="s">
        <v>5</v>
      </c>
      <c r="D9" s="5" t="s">
        <v>1013</v>
      </c>
      <c r="E9" s="6" t="s">
        <v>1014</v>
      </c>
      <c r="F9" s="7" t="s">
        <v>1015</v>
      </c>
      <c r="G9" s="8" t="s">
        <v>173</v>
      </c>
    </row>
    <row r="10" spans="1:7" ht="18.75" customHeight="1" x14ac:dyDescent="0.25">
      <c r="A10" s="9">
        <v>267</v>
      </c>
      <c r="B10" s="3" t="s">
        <v>1042</v>
      </c>
      <c r="C10" s="4" t="s">
        <v>5</v>
      </c>
      <c r="D10" s="5" t="s">
        <v>1043</v>
      </c>
      <c r="E10" s="6" t="s">
        <v>1044</v>
      </c>
      <c r="F10" s="7" t="s">
        <v>1045</v>
      </c>
      <c r="G10" s="8" t="s">
        <v>1046</v>
      </c>
    </row>
    <row r="11" spans="1:7" ht="18.75" hidden="1" customHeight="1" x14ac:dyDescent="0.25">
      <c r="A11" s="9">
        <v>16</v>
      </c>
      <c r="B11" s="22" t="s">
        <v>69</v>
      </c>
      <c r="C11" s="4" t="s">
        <v>5</v>
      </c>
      <c r="D11" s="5">
        <v>477.2</v>
      </c>
      <c r="E11" s="6">
        <v>63.4</v>
      </c>
      <c r="F11" s="7">
        <v>413.8</v>
      </c>
      <c r="G11" s="8" t="s">
        <v>70</v>
      </c>
    </row>
    <row r="12" spans="1:7" ht="18.75" customHeight="1" x14ac:dyDescent="0.25">
      <c r="A12" s="9">
        <v>325</v>
      </c>
      <c r="B12" s="3" t="s">
        <v>1300</v>
      </c>
      <c r="C12" s="4" t="s">
        <v>5</v>
      </c>
      <c r="D12" s="5" t="s">
        <v>1301</v>
      </c>
      <c r="E12" s="6" t="s">
        <v>1302</v>
      </c>
      <c r="F12" s="7" t="s">
        <v>1303</v>
      </c>
      <c r="G12" s="8" t="s">
        <v>1304</v>
      </c>
    </row>
    <row r="13" spans="1:7" ht="18.75" customHeight="1" x14ac:dyDescent="0.25">
      <c r="A13" s="9">
        <v>138</v>
      </c>
      <c r="B13" s="3" t="s">
        <v>554</v>
      </c>
      <c r="C13" s="4" t="s">
        <v>5</v>
      </c>
      <c r="D13" s="5" t="s">
        <v>8</v>
      </c>
      <c r="E13" s="6" t="s">
        <v>555</v>
      </c>
      <c r="F13" s="7" t="s">
        <v>556</v>
      </c>
      <c r="G13" s="8" t="s">
        <v>557</v>
      </c>
    </row>
    <row r="14" spans="1:7" ht="18.75" customHeight="1" x14ac:dyDescent="0.25">
      <c r="A14" s="9">
        <v>102</v>
      </c>
      <c r="B14" s="3" t="s">
        <v>432</v>
      </c>
      <c r="C14" s="4" t="s">
        <v>5</v>
      </c>
      <c r="D14" s="5">
        <v>690</v>
      </c>
      <c r="E14" s="6">
        <v>651.38</v>
      </c>
      <c r="F14" s="7">
        <v>38.619999999999997</v>
      </c>
      <c r="G14" s="8" t="s">
        <v>433</v>
      </c>
    </row>
    <row r="15" spans="1:7" ht="18.75" customHeight="1" x14ac:dyDescent="0.25">
      <c r="A15" s="9">
        <v>78</v>
      </c>
      <c r="B15" s="3" t="s">
        <v>331</v>
      </c>
      <c r="C15" s="4" t="s">
        <v>5</v>
      </c>
      <c r="D15" s="5" t="s">
        <v>332</v>
      </c>
      <c r="E15" s="6" t="s">
        <v>333</v>
      </c>
      <c r="F15" s="7" t="s">
        <v>334</v>
      </c>
      <c r="G15" s="8" t="s">
        <v>335</v>
      </c>
    </row>
    <row r="16" spans="1:7" ht="18.75" hidden="1" customHeight="1" x14ac:dyDescent="0.25">
      <c r="A16" s="9">
        <v>66</v>
      </c>
      <c r="B16" s="22" t="s">
        <v>278</v>
      </c>
      <c r="C16" s="4" t="s">
        <v>5</v>
      </c>
      <c r="D16" s="5">
        <v>466.4</v>
      </c>
      <c r="E16" s="6">
        <v>371.74</v>
      </c>
      <c r="F16" s="7">
        <v>94.66</v>
      </c>
      <c r="G16" s="8" t="s">
        <v>279</v>
      </c>
    </row>
    <row r="17" spans="1:7" ht="18.75" customHeight="1" x14ac:dyDescent="0.25">
      <c r="A17" s="9">
        <v>346</v>
      </c>
      <c r="B17" s="3" t="s">
        <v>1345</v>
      </c>
      <c r="C17" s="4" t="s">
        <v>5</v>
      </c>
      <c r="D17" s="5"/>
      <c r="E17" s="6"/>
      <c r="F17" s="7"/>
      <c r="G17" s="8" t="s">
        <v>1331</v>
      </c>
    </row>
    <row r="18" spans="1:7" ht="18.75" hidden="1" customHeight="1" x14ac:dyDescent="0.25">
      <c r="A18" s="9">
        <v>7</v>
      </c>
      <c r="B18" s="22" t="s">
        <v>36</v>
      </c>
      <c r="C18" s="4" t="s">
        <v>5</v>
      </c>
      <c r="D18" s="5">
        <v>-30.4</v>
      </c>
      <c r="E18" s="6">
        <v>98.08</v>
      </c>
      <c r="F18" s="7">
        <v>-128.47999999999999</v>
      </c>
      <c r="G18" s="8" t="s">
        <v>37</v>
      </c>
    </row>
    <row r="19" spans="1:7" ht="18.75" hidden="1" customHeight="1" x14ac:dyDescent="0.25">
      <c r="A19" s="9">
        <v>64</v>
      </c>
      <c r="B19" s="22" t="s">
        <v>271</v>
      </c>
      <c r="C19" s="4" t="s">
        <v>5</v>
      </c>
      <c r="D19" s="5">
        <v>600.79999999999995</v>
      </c>
      <c r="E19" s="6">
        <v>475.09</v>
      </c>
      <c r="F19" s="7">
        <v>125.71</v>
      </c>
      <c r="G19" s="8" t="s">
        <v>272</v>
      </c>
    </row>
    <row r="20" spans="1:7" ht="18.75" customHeight="1" x14ac:dyDescent="0.25">
      <c r="A20" s="9">
        <v>285</v>
      </c>
      <c r="B20" s="3" t="s">
        <v>1124</v>
      </c>
      <c r="C20" s="4" t="s">
        <v>5</v>
      </c>
      <c r="D20" s="5" t="s">
        <v>1125</v>
      </c>
      <c r="E20" s="6" t="s">
        <v>1126</v>
      </c>
      <c r="F20" s="7" t="s">
        <v>1127</v>
      </c>
      <c r="G20" s="8" t="s">
        <v>1128</v>
      </c>
    </row>
    <row r="21" spans="1:7" ht="18.75" customHeight="1" x14ac:dyDescent="0.25">
      <c r="A21" s="9">
        <v>309</v>
      </c>
      <c r="B21" s="3" t="s">
        <v>1225</v>
      </c>
      <c r="C21" s="4" t="s">
        <v>5</v>
      </c>
      <c r="D21" s="5" t="s">
        <v>1226</v>
      </c>
      <c r="E21" s="6" t="s">
        <v>1227</v>
      </c>
      <c r="F21" s="7" t="s">
        <v>1228</v>
      </c>
      <c r="G21" s="8" t="s">
        <v>1229</v>
      </c>
    </row>
    <row r="22" spans="1:7" ht="18.75" customHeight="1" x14ac:dyDescent="0.25">
      <c r="A22" s="9">
        <v>321</v>
      </c>
      <c r="B22" s="3" t="s">
        <v>1281</v>
      </c>
      <c r="C22" s="4" t="s">
        <v>5</v>
      </c>
      <c r="D22" s="5" t="s">
        <v>1282</v>
      </c>
      <c r="E22" s="6" t="s">
        <v>1283</v>
      </c>
      <c r="F22" s="7" t="s">
        <v>1284</v>
      </c>
      <c r="G22" s="8" t="s">
        <v>1285</v>
      </c>
    </row>
    <row r="23" spans="1:7" ht="18.75" hidden="1" customHeight="1" x14ac:dyDescent="0.25">
      <c r="A23" s="9">
        <v>58</v>
      </c>
      <c r="B23" s="22" t="s">
        <v>251</v>
      </c>
      <c r="C23" s="4" t="s">
        <v>5</v>
      </c>
      <c r="D23" s="5">
        <v>893.4</v>
      </c>
      <c r="E23" s="6">
        <v>680.79</v>
      </c>
      <c r="F23" s="7">
        <v>212.61</v>
      </c>
      <c r="G23" s="8" t="s">
        <v>252</v>
      </c>
    </row>
    <row r="24" spans="1:7" ht="18.75" hidden="1" customHeight="1" x14ac:dyDescent="0.25">
      <c r="A24" s="9">
        <v>178</v>
      </c>
      <c r="B24" s="22" t="s">
        <v>648</v>
      </c>
      <c r="C24" s="4" t="s">
        <v>5</v>
      </c>
      <c r="D24" s="5">
        <v>472</v>
      </c>
      <c r="E24" s="6">
        <v>472.62</v>
      </c>
      <c r="F24" s="7">
        <v>-0.62</v>
      </c>
      <c r="G24" s="8" t="s">
        <v>649</v>
      </c>
    </row>
    <row r="25" spans="1:7" ht="18.75" customHeight="1" x14ac:dyDescent="0.25">
      <c r="A25" s="9">
        <v>284</v>
      </c>
      <c r="B25" s="3" t="s">
        <v>1119</v>
      </c>
      <c r="C25" s="4" t="s">
        <v>5</v>
      </c>
      <c r="D25" s="5" t="s">
        <v>1120</v>
      </c>
      <c r="E25" s="6" t="s">
        <v>1121</v>
      </c>
      <c r="F25" s="7" t="s">
        <v>1122</v>
      </c>
      <c r="G25" s="8" t="s">
        <v>1123</v>
      </c>
    </row>
    <row r="26" spans="1:7" ht="18.75" hidden="1" customHeight="1" x14ac:dyDescent="0.25">
      <c r="A26" s="9">
        <v>158</v>
      </c>
      <c r="B26" s="22" t="s">
        <v>606</v>
      </c>
      <c r="C26" s="4" t="s">
        <v>5</v>
      </c>
      <c r="D26" s="5">
        <v>0</v>
      </c>
      <c r="E26" s="6">
        <v>68.11</v>
      </c>
      <c r="F26" s="7">
        <v>-68.11</v>
      </c>
      <c r="G26" s="8" t="s">
        <v>70</v>
      </c>
    </row>
    <row r="27" spans="1:7" ht="18.75" hidden="1" customHeight="1" x14ac:dyDescent="0.25">
      <c r="A27" s="9">
        <v>77</v>
      </c>
      <c r="B27" s="22" t="s">
        <v>326</v>
      </c>
      <c r="C27" s="4" t="s">
        <v>5</v>
      </c>
      <c r="D27" s="5" t="s">
        <v>327</v>
      </c>
      <c r="E27" s="6" t="s">
        <v>328</v>
      </c>
      <c r="F27" s="7" t="s">
        <v>329</v>
      </c>
      <c r="G27" s="8" t="s">
        <v>330</v>
      </c>
    </row>
    <row r="28" spans="1:7" ht="18.75" customHeight="1" x14ac:dyDescent="0.25">
      <c r="A28" s="9">
        <v>94</v>
      </c>
      <c r="B28" s="3" t="s">
        <v>402</v>
      </c>
      <c r="C28" s="4" t="s">
        <v>5</v>
      </c>
      <c r="D28" s="5" t="s">
        <v>403</v>
      </c>
      <c r="E28" s="6" t="s">
        <v>404</v>
      </c>
      <c r="F28" s="7" t="s">
        <v>405</v>
      </c>
      <c r="G28" s="8" t="s">
        <v>15</v>
      </c>
    </row>
    <row r="29" spans="1:7" ht="18.75" customHeight="1" x14ac:dyDescent="0.25">
      <c r="A29" s="9">
        <v>283</v>
      </c>
      <c r="B29" s="3" t="s">
        <v>1114</v>
      </c>
      <c r="C29" s="4" t="s">
        <v>5</v>
      </c>
      <c r="D29" s="5" t="s">
        <v>1115</v>
      </c>
      <c r="E29" s="6" t="s">
        <v>1116</v>
      </c>
      <c r="F29" s="7" t="s">
        <v>1117</v>
      </c>
      <c r="G29" s="8" t="s">
        <v>1118</v>
      </c>
    </row>
    <row r="30" spans="1:7" ht="18.75" hidden="1" customHeight="1" x14ac:dyDescent="0.25">
      <c r="A30" s="9">
        <v>262</v>
      </c>
      <c r="B30" s="22" t="s">
        <v>1018</v>
      </c>
      <c r="C30" s="4" t="s">
        <v>5</v>
      </c>
      <c r="D30" s="5" t="s">
        <v>1019</v>
      </c>
      <c r="E30" s="6" t="s">
        <v>1020</v>
      </c>
      <c r="F30" s="7" t="s">
        <v>1021</v>
      </c>
      <c r="G30" s="8" t="s">
        <v>1022</v>
      </c>
    </row>
    <row r="31" spans="1:7" ht="18.75" hidden="1" customHeight="1" x14ac:dyDescent="0.25">
      <c r="A31" s="9">
        <v>192</v>
      </c>
      <c r="B31" s="22" t="s">
        <v>707</v>
      </c>
      <c r="C31" s="4" t="s">
        <v>5</v>
      </c>
      <c r="D31" s="5">
        <v>550.20000000000005</v>
      </c>
      <c r="E31" s="6">
        <v>580.29999999999995</v>
      </c>
      <c r="F31" s="7">
        <v>-30.1</v>
      </c>
      <c r="G31" s="8" t="s">
        <v>708</v>
      </c>
    </row>
    <row r="32" spans="1:7" ht="18.75" customHeight="1" x14ac:dyDescent="0.25">
      <c r="A32" s="9">
        <v>119</v>
      </c>
      <c r="B32" s="3" t="s">
        <v>502</v>
      </c>
      <c r="C32" s="4" t="s">
        <v>5</v>
      </c>
      <c r="D32" s="5" t="s">
        <v>503</v>
      </c>
      <c r="E32" s="6" t="s">
        <v>503</v>
      </c>
      <c r="F32" s="7" t="s">
        <v>8</v>
      </c>
      <c r="G32" s="8" t="s">
        <v>493</v>
      </c>
    </row>
    <row r="33" spans="1:7" ht="18.75" customHeight="1" x14ac:dyDescent="0.25">
      <c r="A33" s="9">
        <v>143</v>
      </c>
      <c r="B33" s="3" t="s">
        <v>569</v>
      </c>
      <c r="C33" s="4" t="s">
        <v>5</v>
      </c>
      <c r="D33" s="5">
        <v>254.8</v>
      </c>
      <c r="E33" s="6">
        <v>254.8</v>
      </c>
      <c r="F33" s="7">
        <v>0</v>
      </c>
      <c r="G33" s="8" t="s">
        <v>493</v>
      </c>
    </row>
    <row r="34" spans="1:7" ht="18.75" hidden="1" customHeight="1" x14ac:dyDescent="0.25">
      <c r="A34" s="9">
        <v>113</v>
      </c>
      <c r="B34" s="22" t="s">
        <v>480</v>
      </c>
      <c r="C34" s="4" t="s">
        <v>5</v>
      </c>
      <c r="D34" s="5">
        <v>642.79999999999995</v>
      </c>
      <c r="E34" s="6">
        <v>635.72</v>
      </c>
      <c r="F34" s="7">
        <v>7.08</v>
      </c>
      <c r="G34" s="8" t="s">
        <v>481</v>
      </c>
    </row>
    <row r="35" spans="1:7" ht="18.75" customHeight="1" x14ac:dyDescent="0.25">
      <c r="A35" s="9">
        <v>2</v>
      </c>
      <c r="B35" s="3" t="s">
        <v>11</v>
      </c>
      <c r="C35" s="4" t="s">
        <v>5</v>
      </c>
      <c r="D35" s="5" t="s">
        <v>12</v>
      </c>
      <c r="E35" s="6" t="s">
        <v>13</v>
      </c>
      <c r="F35" s="7" t="s">
        <v>14</v>
      </c>
      <c r="G35" s="8" t="s">
        <v>15</v>
      </c>
    </row>
    <row r="36" spans="1:7" ht="18.75" customHeight="1" x14ac:dyDescent="0.25">
      <c r="A36" s="9">
        <v>96</v>
      </c>
      <c r="B36" s="3" t="s">
        <v>408</v>
      </c>
      <c r="C36" s="4" t="s">
        <v>5</v>
      </c>
      <c r="D36" s="5" t="s">
        <v>409</v>
      </c>
      <c r="E36" s="6" t="s">
        <v>410</v>
      </c>
      <c r="F36" s="7" t="s">
        <v>411</v>
      </c>
      <c r="G36" s="8" t="s">
        <v>412</v>
      </c>
    </row>
    <row r="37" spans="1:7" ht="18.75" customHeight="1" x14ac:dyDescent="0.25">
      <c r="A37" s="9">
        <v>115</v>
      </c>
      <c r="B37" s="3" t="s">
        <v>487</v>
      </c>
      <c r="C37" s="4" t="s">
        <v>5</v>
      </c>
      <c r="D37" s="5" t="s">
        <v>8</v>
      </c>
      <c r="E37" s="6" t="s">
        <v>488</v>
      </c>
      <c r="F37" s="7" t="s">
        <v>489</v>
      </c>
      <c r="G37" s="8" t="s">
        <v>490</v>
      </c>
    </row>
    <row r="38" spans="1:7" ht="18.75" customHeight="1" x14ac:dyDescent="0.25">
      <c r="A38" s="9">
        <v>55</v>
      </c>
      <c r="B38" s="3" t="s">
        <v>236</v>
      </c>
      <c r="C38" s="4" t="s">
        <v>5</v>
      </c>
      <c r="D38" s="5" t="s">
        <v>237</v>
      </c>
      <c r="E38" s="6" t="s">
        <v>238</v>
      </c>
      <c r="F38" s="7" t="s">
        <v>239</v>
      </c>
      <c r="G38" s="8" t="s">
        <v>240</v>
      </c>
    </row>
    <row r="39" spans="1:7" ht="18.75" customHeight="1" x14ac:dyDescent="0.25">
      <c r="A39" s="9">
        <v>203</v>
      </c>
      <c r="B39" s="3" t="s">
        <v>752</v>
      </c>
      <c r="C39" s="4" t="s">
        <v>5</v>
      </c>
      <c r="D39" s="5" t="s">
        <v>753</v>
      </c>
      <c r="E39" s="6" t="s">
        <v>754</v>
      </c>
      <c r="F39" s="7" t="s">
        <v>755</v>
      </c>
      <c r="G39" s="8" t="s">
        <v>756</v>
      </c>
    </row>
    <row r="40" spans="1:7" ht="18.75" customHeight="1" x14ac:dyDescent="0.25">
      <c r="A40" s="9">
        <v>54</v>
      </c>
      <c r="B40" s="3" t="s">
        <v>231</v>
      </c>
      <c r="C40" s="4" t="s">
        <v>5</v>
      </c>
      <c r="D40" s="5" t="s">
        <v>232</v>
      </c>
      <c r="E40" s="6" t="s">
        <v>233</v>
      </c>
      <c r="F40" s="7" t="s">
        <v>234</v>
      </c>
      <c r="G40" s="8" t="s">
        <v>235</v>
      </c>
    </row>
    <row r="41" spans="1:7" ht="18.75" customHeight="1" x14ac:dyDescent="0.25">
      <c r="A41" s="9">
        <v>60</v>
      </c>
      <c r="B41" s="3" t="s">
        <v>257</v>
      </c>
      <c r="C41" s="4" t="s">
        <v>5</v>
      </c>
      <c r="D41" s="5" t="s">
        <v>258</v>
      </c>
      <c r="E41" s="6" t="s">
        <v>259</v>
      </c>
      <c r="F41" s="7" t="s">
        <v>260</v>
      </c>
      <c r="G41" s="8" t="s">
        <v>261</v>
      </c>
    </row>
    <row r="42" spans="1:7" ht="18.75" customHeight="1" x14ac:dyDescent="0.25">
      <c r="A42" s="9">
        <v>11</v>
      </c>
      <c r="B42" s="3" t="s">
        <v>50</v>
      </c>
      <c r="C42" s="4" t="s">
        <v>5</v>
      </c>
      <c r="D42" s="5" t="s">
        <v>51</v>
      </c>
      <c r="E42" s="6" t="s">
        <v>52</v>
      </c>
      <c r="F42" s="7" t="s">
        <v>53</v>
      </c>
      <c r="G42" s="8" t="s">
        <v>54</v>
      </c>
    </row>
    <row r="43" spans="1:7" ht="18.75" customHeight="1" x14ac:dyDescent="0.25">
      <c r="A43" s="9">
        <v>227</v>
      </c>
      <c r="B43" s="3" t="s">
        <v>867</v>
      </c>
      <c r="C43" s="4" t="s">
        <v>5</v>
      </c>
      <c r="D43" s="5" t="s">
        <v>868</v>
      </c>
      <c r="E43" s="6" t="s">
        <v>869</v>
      </c>
      <c r="F43" s="7" t="s">
        <v>870</v>
      </c>
      <c r="G43" s="8" t="s">
        <v>871</v>
      </c>
    </row>
    <row r="44" spans="1:7" ht="18.75" customHeight="1" x14ac:dyDescent="0.25">
      <c r="A44" s="9">
        <v>293</v>
      </c>
      <c r="B44" s="3" t="s">
        <v>1162</v>
      </c>
      <c r="C44" s="4" t="s">
        <v>5</v>
      </c>
      <c r="D44" s="5" t="s">
        <v>1163</v>
      </c>
      <c r="E44" s="6" t="s">
        <v>1164</v>
      </c>
      <c r="F44" s="7" t="s">
        <v>1165</v>
      </c>
      <c r="G44" s="8" t="s">
        <v>1166</v>
      </c>
    </row>
    <row r="45" spans="1:7" ht="18.75" customHeight="1" x14ac:dyDescent="0.25">
      <c r="A45" s="9">
        <v>345</v>
      </c>
      <c r="B45" s="3" t="s">
        <v>1344</v>
      </c>
      <c r="C45" s="4" t="s">
        <v>5</v>
      </c>
      <c r="D45" s="5"/>
      <c r="E45" s="6"/>
      <c r="F45" s="7"/>
      <c r="G45" s="8" t="s">
        <v>1331</v>
      </c>
    </row>
    <row r="46" spans="1:7" ht="18.75" customHeight="1" x14ac:dyDescent="0.25">
      <c r="A46" s="9">
        <v>222</v>
      </c>
      <c r="B46" s="3" t="s">
        <v>843</v>
      </c>
      <c r="C46" s="4" t="s">
        <v>5</v>
      </c>
      <c r="D46" s="5" t="s">
        <v>844</v>
      </c>
      <c r="E46" s="6" t="s">
        <v>845</v>
      </c>
      <c r="F46" s="7" t="s">
        <v>846</v>
      </c>
      <c r="G46" s="8" t="s">
        <v>665</v>
      </c>
    </row>
    <row r="47" spans="1:7" ht="18.75" customHeight="1" x14ac:dyDescent="0.25">
      <c r="A47" s="9">
        <v>225</v>
      </c>
      <c r="B47" s="3" t="s">
        <v>857</v>
      </c>
      <c r="C47" s="4" t="s">
        <v>5</v>
      </c>
      <c r="D47" s="5" t="s">
        <v>858</v>
      </c>
      <c r="E47" s="6" t="s">
        <v>859</v>
      </c>
      <c r="F47" s="7" t="s">
        <v>860</v>
      </c>
      <c r="G47" s="8" t="s">
        <v>861</v>
      </c>
    </row>
    <row r="48" spans="1:7" ht="18.75" customHeight="1" x14ac:dyDescent="0.25">
      <c r="A48" s="9">
        <v>28</v>
      </c>
      <c r="B48" s="3" t="s">
        <v>126</v>
      </c>
      <c r="C48" s="4" t="s">
        <v>5</v>
      </c>
      <c r="D48" s="5" t="s">
        <v>127</v>
      </c>
      <c r="E48" s="6" t="s">
        <v>128</v>
      </c>
      <c r="F48" s="7" t="s">
        <v>129</v>
      </c>
      <c r="G48" s="8" t="s">
        <v>130</v>
      </c>
    </row>
    <row r="49" spans="1:7" ht="18.75" customHeight="1" x14ac:dyDescent="0.25">
      <c r="A49" s="9">
        <v>86</v>
      </c>
      <c r="B49" s="3" t="s">
        <v>367</v>
      </c>
      <c r="C49" s="4" t="s">
        <v>5</v>
      </c>
      <c r="D49" s="5" t="s">
        <v>368</v>
      </c>
      <c r="E49" s="6" t="s">
        <v>369</v>
      </c>
      <c r="F49" s="7" t="s">
        <v>370</v>
      </c>
      <c r="G49" s="8" t="s">
        <v>371</v>
      </c>
    </row>
    <row r="50" spans="1:7" ht="18.75" customHeight="1" x14ac:dyDescent="0.25">
      <c r="A50" s="9">
        <v>74</v>
      </c>
      <c r="B50" s="3" t="s">
        <v>311</v>
      </c>
      <c r="C50" s="4" t="s">
        <v>5</v>
      </c>
      <c r="D50" s="5" t="s">
        <v>312</v>
      </c>
      <c r="E50" s="6" t="s">
        <v>313</v>
      </c>
      <c r="F50" s="7" t="s">
        <v>314</v>
      </c>
      <c r="G50" s="8" t="s">
        <v>315</v>
      </c>
    </row>
    <row r="51" spans="1:7" ht="18.75" customHeight="1" x14ac:dyDescent="0.25">
      <c r="A51" s="9">
        <v>136</v>
      </c>
      <c r="B51" s="3" t="s">
        <v>546</v>
      </c>
      <c r="C51" s="4" t="s">
        <v>5</v>
      </c>
      <c r="D51" s="5" t="s">
        <v>8</v>
      </c>
      <c r="E51" s="6" t="s">
        <v>547</v>
      </c>
      <c r="F51" s="7" t="s">
        <v>548</v>
      </c>
      <c r="G51" s="8" t="s">
        <v>549</v>
      </c>
    </row>
    <row r="52" spans="1:7" ht="18.75" hidden="1" customHeight="1" x14ac:dyDescent="0.25">
      <c r="A52" s="9">
        <v>313</v>
      </c>
      <c r="B52" s="22" t="s">
        <v>1245</v>
      </c>
      <c r="C52" s="4" t="s">
        <v>5</v>
      </c>
      <c r="D52" s="15">
        <v>1050</v>
      </c>
      <c r="E52" s="16">
        <v>4065.35</v>
      </c>
      <c r="F52" s="17">
        <v>-3015.35</v>
      </c>
      <c r="G52" s="8" t="s">
        <v>1246</v>
      </c>
    </row>
    <row r="53" spans="1:7" ht="18.75" hidden="1" customHeight="1" x14ac:dyDescent="0.25">
      <c r="A53" s="9">
        <v>180</v>
      </c>
      <c r="B53" s="22" t="s">
        <v>655</v>
      </c>
      <c r="C53" s="4" t="s">
        <v>5</v>
      </c>
      <c r="D53" s="5">
        <v>310.39999999999998</v>
      </c>
      <c r="E53" s="6">
        <v>314.43</v>
      </c>
      <c r="F53" s="7">
        <v>-4.03</v>
      </c>
      <c r="G53" s="8" t="s">
        <v>396</v>
      </c>
    </row>
    <row r="54" spans="1:7" ht="18.75" customHeight="1" x14ac:dyDescent="0.25">
      <c r="A54" s="9">
        <v>104</v>
      </c>
      <c r="B54" s="3" t="s">
        <v>439</v>
      </c>
      <c r="C54" s="4" t="s">
        <v>5</v>
      </c>
      <c r="D54" s="5" t="s">
        <v>440</v>
      </c>
      <c r="E54" s="6" t="s">
        <v>441</v>
      </c>
      <c r="F54" s="7" t="s">
        <v>442</v>
      </c>
      <c r="G54" s="8" t="s">
        <v>443</v>
      </c>
    </row>
    <row r="55" spans="1:7" ht="18.75" customHeight="1" x14ac:dyDescent="0.25">
      <c r="A55" s="9">
        <v>159</v>
      </c>
      <c r="B55" s="3" t="s">
        <v>607</v>
      </c>
      <c r="C55" s="4" t="s">
        <v>5</v>
      </c>
      <c r="D55" s="5" t="s">
        <v>8</v>
      </c>
      <c r="E55" s="6" t="s">
        <v>608</v>
      </c>
      <c r="F55" s="7" t="s">
        <v>609</v>
      </c>
      <c r="G55" s="8" t="s">
        <v>610</v>
      </c>
    </row>
    <row r="56" spans="1:7" ht="18.75" customHeight="1" x14ac:dyDescent="0.25">
      <c r="A56" s="9">
        <v>197</v>
      </c>
      <c r="B56" s="3" t="s">
        <v>728</v>
      </c>
      <c r="C56" s="4" t="s">
        <v>5</v>
      </c>
      <c r="D56" s="5" t="s">
        <v>729</v>
      </c>
      <c r="E56" s="6" t="s">
        <v>730</v>
      </c>
      <c r="F56" s="7" t="s">
        <v>731</v>
      </c>
      <c r="G56" s="8" t="s">
        <v>732</v>
      </c>
    </row>
    <row r="57" spans="1:7" ht="18.75" customHeight="1" x14ac:dyDescent="0.25">
      <c r="A57" s="9">
        <v>297</v>
      </c>
      <c r="B57" s="3" t="s">
        <v>1179</v>
      </c>
      <c r="C57" s="4" t="s">
        <v>5</v>
      </c>
      <c r="D57" s="5" t="s">
        <v>1180</v>
      </c>
      <c r="E57" s="6" t="s">
        <v>1181</v>
      </c>
      <c r="F57" s="7" t="s">
        <v>1182</v>
      </c>
      <c r="G57" s="8" t="s">
        <v>1183</v>
      </c>
    </row>
    <row r="58" spans="1:7" ht="18.75" customHeight="1" x14ac:dyDescent="0.25">
      <c r="A58" s="9">
        <v>324</v>
      </c>
      <c r="B58" s="3" t="s">
        <v>1295</v>
      </c>
      <c r="C58" s="4" t="s">
        <v>5</v>
      </c>
      <c r="D58" s="5" t="s">
        <v>1296</v>
      </c>
      <c r="E58" s="6" t="s">
        <v>1297</v>
      </c>
      <c r="F58" s="7" t="s">
        <v>1298</v>
      </c>
      <c r="G58" s="8" t="s">
        <v>1299</v>
      </c>
    </row>
    <row r="59" spans="1:7" ht="18.75" customHeight="1" x14ac:dyDescent="0.25">
      <c r="A59" s="9">
        <v>209</v>
      </c>
      <c r="B59" s="3" t="s">
        <v>781</v>
      </c>
      <c r="C59" s="4" t="s">
        <v>5</v>
      </c>
      <c r="D59" s="5" t="s">
        <v>782</v>
      </c>
      <c r="E59" s="6" t="s">
        <v>783</v>
      </c>
      <c r="F59" s="7" t="s">
        <v>784</v>
      </c>
      <c r="G59" s="8" t="s">
        <v>261</v>
      </c>
    </row>
    <row r="60" spans="1:7" ht="18.75" customHeight="1" x14ac:dyDescent="0.25">
      <c r="A60" s="9">
        <v>294</v>
      </c>
      <c r="B60" s="3" t="s">
        <v>1167</v>
      </c>
      <c r="C60" s="4" t="s">
        <v>5</v>
      </c>
      <c r="D60" s="5" t="s">
        <v>1168</v>
      </c>
      <c r="E60" s="6" t="s">
        <v>1169</v>
      </c>
      <c r="F60" s="7" t="s">
        <v>1170</v>
      </c>
      <c r="G60" s="8" t="s">
        <v>1171</v>
      </c>
    </row>
    <row r="61" spans="1:7" ht="18.75" customHeight="1" x14ac:dyDescent="0.25">
      <c r="A61" s="9">
        <v>93</v>
      </c>
      <c r="B61" s="3" t="s">
        <v>397</v>
      </c>
      <c r="C61" s="4" t="s">
        <v>5</v>
      </c>
      <c r="D61" s="5" t="s">
        <v>398</v>
      </c>
      <c r="E61" s="6" t="s">
        <v>399</v>
      </c>
      <c r="F61" s="7" t="s">
        <v>400</v>
      </c>
      <c r="G61" s="8" t="s">
        <v>401</v>
      </c>
    </row>
    <row r="62" spans="1:7" ht="18.75" customHeight="1" x14ac:dyDescent="0.25">
      <c r="A62" s="9">
        <v>52</v>
      </c>
      <c r="B62" s="3" t="s">
        <v>221</v>
      </c>
      <c r="C62" s="4" t="s">
        <v>5</v>
      </c>
      <c r="D62" s="5" t="s">
        <v>222</v>
      </c>
      <c r="E62" s="6" t="s">
        <v>223</v>
      </c>
      <c r="F62" s="7" t="s">
        <v>224</v>
      </c>
      <c r="G62" s="8" t="s">
        <v>225</v>
      </c>
    </row>
    <row r="63" spans="1:7" ht="18.75" customHeight="1" x14ac:dyDescent="0.25">
      <c r="A63" s="9">
        <v>47</v>
      </c>
      <c r="B63" s="3" t="s">
        <v>202</v>
      </c>
      <c r="C63" s="4" t="s">
        <v>5</v>
      </c>
      <c r="D63" s="5" t="s">
        <v>203</v>
      </c>
      <c r="E63" s="6" t="s">
        <v>204</v>
      </c>
      <c r="F63" s="7" t="s">
        <v>205</v>
      </c>
      <c r="G63" s="8" t="s">
        <v>206</v>
      </c>
    </row>
    <row r="64" spans="1:7" ht="18.75" customHeight="1" x14ac:dyDescent="0.25">
      <c r="A64" s="9">
        <v>210</v>
      </c>
      <c r="B64" s="3" t="s">
        <v>785</v>
      </c>
      <c r="C64" s="4" t="s">
        <v>5</v>
      </c>
      <c r="D64" s="5" t="s">
        <v>786</v>
      </c>
      <c r="E64" s="6" t="s">
        <v>787</v>
      </c>
      <c r="F64" s="7" t="s">
        <v>788</v>
      </c>
      <c r="G64" s="8" t="s">
        <v>789</v>
      </c>
    </row>
    <row r="65" spans="1:7" ht="18.75" customHeight="1" x14ac:dyDescent="0.25">
      <c r="A65" s="9">
        <v>243</v>
      </c>
      <c r="B65" s="3" t="s">
        <v>942</v>
      </c>
      <c r="C65" s="4" t="s">
        <v>5</v>
      </c>
      <c r="D65" s="5" t="s">
        <v>421</v>
      </c>
      <c r="E65" s="6" t="s">
        <v>943</v>
      </c>
      <c r="F65" s="7" t="s">
        <v>944</v>
      </c>
      <c r="G65" s="8" t="s">
        <v>945</v>
      </c>
    </row>
    <row r="66" spans="1:7" ht="18.75" customHeight="1" x14ac:dyDescent="0.25">
      <c r="A66" s="9">
        <v>279</v>
      </c>
      <c r="B66" s="3" t="s">
        <v>1095</v>
      </c>
      <c r="C66" s="4" t="s">
        <v>5</v>
      </c>
      <c r="D66" s="5" t="s">
        <v>1096</v>
      </c>
      <c r="E66" s="6" t="s">
        <v>1097</v>
      </c>
      <c r="F66" s="7" t="s">
        <v>1098</v>
      </c>
      <c r="G66" s="8" t="s">
        <v>1099</v>
      </c>
    </row>
    <row r="67" spans="1:7" ht="18.75" customHeight="1" x14ac:dyDescent="0.25">
      <c r="A67" s="9">
        <v>257</v>
      </c>
      <c r="B67" s="3" t="s">
        <v>999</v>
      </c>
      <c r="C67" s="4" t="s">
        <v>5</v>
      </c>
      <c r="D67" s="5" t="s">
        <v>1000</v>
      </c>
      <c r="E67" s="6" t="s">
        <v>1001</v>
      </c>
      <c r="F67" s="7" t="s">
        <v>1002</v>
      </c>
      <c r="G67" s="8" t="s">
        <v>1003</v>
      </c>
    </row>
    <row r="68" spans="1:7" ht="18.75" customHeight="1" x14ac:dyDescent="0.25">
      <c r="A68" s="9">
        <v>29</v>
      </c>
      <c r="B68" s="3" t="s">
        <v>131</v>
      </c>
      <c r="C68" s="4" t="s">
        <v>5</v>
      </c>
      <c r="D68" s="5" t="s">
        <v>132</v>
      </c>
      <c r="E68" s="6" t="s">
        <v>133</v>
      </c>
      <c r="F68" s="7" t="s">
        <v>134</v>
      </c>
      <c r="G68" s="8" t="s">
        <v>85</v>
      </c>
    </row>
    <row r="69" spans="1:7" ht="18.75" customHeight="1" x14ac:dyDescent="0.25">
      <c r="A69" s="9">
        <v>27</v>
      </c>
      <c r="B69" s="3" t="s">
        <v>121</v>
      </c>
      <c r="C69" s="4" t="s">
        <v>5</v>
      </c>
      <c r="D69" s="5" t="s">
        <v>122</v>
      </c>
      <c r="E69" s="6" t="s">
        <v>123</v>
      </c>
      <c r="F69" s="7" t="s">
        <v>124</v>
      </c>
      <c r="G69" s="8" t="s">
        <v>125</v>
      </c>
    </row>
    <row r="70" spans="1:7" ht="18.75" customHeight="1" x14ac:dyDescent="0.25">
      <c r="A70" s="9">
        <v>266</v>
      </c>
      <c r="B70" s="3" t="s">
        <v>1038</v>
      </c>
      <c r="C70" s="4" t="s">
        <v>5</v>
      </c>
      <c r="D70" s="5" t="s">
        <v>1039</v>
      </c>
      <c r="E70" s="6" t="s">
        <v>1040</v>
      </c>
      <c r="F70" s="7" t="s">
        <v>1041</v>
      </c>
      <c r="G70" s="8" t="s">
        <v>70</v>
      </c>
    </row>
    <row r="71" spans="1:7" ht="18.75" customHeight="1" x14ac:dyDescent="0.25">
      <c r="A71" s="9">
        <v>278</v>
      </c>
      <c r="B71" s="3" t="s">
        <v>1090</v>
      </c>
      <c r="C71" s="4" t="s">
        <v>5</v>
      </c>
      <c r="D71" s="5" t="s">
        <v>1091</v>
      </c>
      <c r="E71" s="6" t="s">
        <v>1092</v>
      </c>
      <c r="F71" s="7" t="s">
        <v>1093</v>
      </c>
      <c r="G71" s="8" t="s">
        <v>1094</v>
      </c>
    </row>
    <row r="72" spans="1:7" ht="18.75" customHeight="1" x14ac:dyDescent="0.25">
      <c r="A72" s="9">
        <v>274</v>
      </c>
      <c r="B72" s="3" t="s">
        <v>1077</v>
      </c>
      <c r="C72" s="4" t="s">
        <v>5</v>
      </c>
      <c r="D72" s="5" t="s">
        <v>1078</v>
      </c>
      <c r="E72" s="6" t="s">
        <v>1079</v>
      </c>
      <c r="F72" s="7" t="s">
        <v>1080</v>
      </c>
      <c r="G72" s="8" t="s">
        <v>1081</v>
      </c>
    </row>
    <row r="73" spans="1:7" ht="18.75" hidden="1" customHeight="1" x14ac:dyDescent="0.25">
      <c r="A73" s="9">
        <v>299</v>
      </c>
      <c r="B73" s="22" t="s">
        <v>1188</v>
      </c>
      <c r="C73" s="4" t="s">
        <v>5</v>
      </c>
      <c r="D73" s="5">
        <v>660.8</v>
      </c>
      <c r="E73" s="16">
        <v>1802.22</v>
      </c>
      <c r="F73" s="17">
        <v>-1141.42</v>
      </c>
      <c r="G73" s="8" t="s">
        <v>1189</v>
      </c>
    </row>
    <row r="74" spans="1:7" ht="18.75" customHeight="1" x14ac:dyDescent="0.25">
      <c r="A74" s="9">
        <v>264</v>
      </c>
      <c r="B74" s="3" t="s">
        <v>1028</v>
      </c>
      <c r="C74" s="4" t="s">
        <v>5</v>
      </c>
      <c r="D74" s="5" t="s">
        <v>1029</v>
      </c>
      <c r="E74" s="6" t="s">
        <v>1030</v>
      </c>
      <c r="F74" s="7" t="s">
        <v>1031</v>
      </c>
      <c r="G74" s="8" t="s">
        <v>1032</v>
      </c>
    </row>
    <row r="75" spans="1:7" ht="18.75" customHeight="1" x14ac:dyDescent="0.25">
      <c r="A75" s="9">
        <v>122</v>
      </c>
      <c r="B75" s="3" t="s">
        <v>509</v>
      </c>
      <c r="C75" s="4" t="s">
        <v>5</v>
      </c>
      <c r="D75" s="5" t="s">
        <v>8</v>
      </c>
      <c r="E75" s="6" t="s">
        <v>510</v>
      </c>
      <c r="F75" s="7" t="s">
        <v>511</v>
      </c>
      <c r="G75" s="8" t="s">
        <v>512</v>
      </c>
    </row>
    <row r="76" spans="1:7" ht="18.75" customHeight="1" x14ac:dyDescent="0.25">
      <c r="A76" s="9">
        <v>164</v>
      </c>
      <c r="B76" s="3" t="s">
        <v>621</v>
      </c>
      <c r="C76" s="4" t="s">
        <v>5</v>
      </c>
      <c r="D76" s="5" t="s">
        <v>622</v>
      </c>
      <c r="E76" s="6" t="s">
        <v>622</v>
      </c>
      <c r="F76" s="7" t="s">
        <v>8</v>
      </c>
      <c r="G76" s="8" t="s">
        <v>493</v>
      </c>
    </row>
    <row r="77" spans="1:7" ht="18.75" customHeight="1" x14ac:dyDescent="0.25">
      <c r="A77" s="9">
        <v>310</v>
      </c>
      <c r="B77" s="3" t="s">
        <v>1230</v>
      </c>
      <c r="C77" s="4" t="s">
        <v>5</v>
      </c>
      <c r="D77" s="5" t="s">
        <v>1231</v>
      </c>
      <c r="E77" s="6" t="s">
        <v>1232</v>
      </c>
      <c r="F77" s="7" t="s">
        <v>1233</v>
      </c>
      <c r="G77" s="8" t="s">
        <v>1234</v>
      </c>
    </row>
    <row r="78" spans="1:7" ht="18.75" customHeight="1" x14ac:dyDescent="0.25">
      <c r="A78" s="9">
        <v>99</v>
      </c>
      <c r="B78" s="3" t="s">
        <v>420</v>
      </c>
      <c r="C78" s="4" t="s">
        <v>5</v>
      </c>
      <c r="D78" s="5" t="s">
        <v>421</v>
      </c>
      <c r="E78" s="6" t="s">
        <v>422</v>
      </c>
      <c r="F78" s="7" t="s">
        <v>423</v>
      </c>
      <c r="G78" s="8" t="s">
        <v>424</v>
      </c>
    </row>
    <row r="79" spans="1:7" ht="18.75" customHeight="1" x14ac:dyDescent="0.25">
      <c r="A79" s="9">
        <v>105</v>
      </c>
      <c r="B79" s="3" t="s">
        <v>444</v>
      </c>
      <c r="C79" s="4" t="s">
        <v>5</v>
      </c>
      <c r="D79" s="5" t="s">
        <v>445</v>
      </c>
      <c r="E79" s="6" t="s">
        <v>446</v>
      </c>
      <c r="F79" s="7" t="s">
        <v>447</v>
      </c>
      <c r="G79" s="8" t="s">
        <v>448</v>
      </c>
    </row>
    <row r="80" spans="1:7" ht="18.75" customHeight="1" x14ac:dyDescent="0.25">
      <c r="A80" s="9">
        <v>298</v>
      </c>
      <c r="B80" s="3" t="s">
        <v>1184</v>
      </c>
      <c r="C80" s="4" t="s">
        <v>5</v>
      </c>
      <c r="D80" s="5" t="s">
        <v>672</v>
      </c>
      <c r="E80" s="6" t="s">
        <v>1185</v>
      </c>
      <c r="F80" s="7" t="s">
        <v>1186</v>
      </c>
      <c r="G80" s="8" t="s">
        <v>1187</v>
      </c>
    </row>
    <row r="81" spans="1:7" ht="18.75" customHeight="1" x14ac:dyDescent="0.25">
      <c r="A81" s="9">
        <v>174</v>
      </c>
      <c r="B81" s="3" t="s">
        <v>640</v>
      </c>
      <c r="C81" s="4" t="s">
        <v>5</v>
      </c>
      <c r="D81" s="5" t="s">
        <v>8</v>
      </c>
      <c r="E81" s="6" t="s">
        <v>8</v>
      </c>
      <c r="F81" s="7" t="s">
        <v>8</v>
      </c>
      <c r="G81" s="8" t="s">
        <v>493</v>
      </c>
    </row>
    <row r="82" spans="1:7" ht="18.75" customHeight="1" x14ac:dyDescent="0.25">
      <c r="A82" s="9">
        <v>316</v>
      </c>
      <c r="B82" s="3" t="s">
        <v>1257</v>
      </c>
      <c r="C82" s="4" t="s">
        <v>5</v>
      </c>
      <c r="D82" s="5" t="s">
        <v>1258</v>
      </c>
      <c r="E82" s="6" t="s">
        <v>1259</v>
      </c>
      <c r="F82" s="7" t="s">
        <v>1260</v>
      </c>
      <c r="G82" s="8" t="s">
        <v>1261</v>
      </c>
    </row>
    <row r="83" spans="1:7" ht="18.75" customHeight="1" x14ac:dyDescent="0.25">
      <c r="A83" s="9">
        <v>118</v>
      </c>
      <c r="B83" s="3" t="s">
        <v>498</v>
      </c>
      <c r="C83" s="4" t="s">
        <v>5</v>
      </c>
      <c r="D83" s="5" t="s">
        <v>8</v>
      </c>
      <c r="E83" s="6" t="s">
        <v>499</v>
      </c>
      <c r="F83" s="7" t="s">
        <v>500</v>
      </c>
      <c r="G83" s="8" t="s">
        <v>501</v>
      </c>
    </row>
    <row r="84" spans="1:7" ht="18.75" customHeight="1" x14ac:dyDescent="0.25">
      <c r="A84" s="9">
        <v>147</v>
      </c>
      <c r="B84" s="3" t="s">
        <v>576</v>
      </c>
      <c r="C84" s="4" t="s">
        <v>5</v>
      </c>
      <c r="D84" s="5" t="s">
        <v>577</v>
      </c>
      <c r="E84" s="6" t="s">
        <v>577</v>
      </c>
      <c r="F84" s="7" t="s">
        <v>8</v>
      </c>
      <c r="G84" s="8" t="s">
        <v>493</v>
      </c>
    </row>
    <row r="85" spans="1:7" ht="18.75" customHeight="1" x14ac:dyDescent="0.25">
      <c r="A85" s="9">
        <v>18</v>
      </c>
      <c r="B85" s="3" t="s">
        <v>76</v>
      </c>
      <c r="C85" s="4" t="s">
        <v>5</v>
      </c>
      <c r="D85" s="5" t="s">
        <v>77</v>
      </c>
      <c r="E85" s="6" t="s">
        <v>78</v>
      </c>
      <c r="F85" s="7" t="s">
        <v>79</v>
      </c>
      <c r="G85" s="8" t="s">
        <v>80</v>
      </c>
    </row>
    <row r="86" spans="1:7" ht="18.75" customHeight="1" x14ac:dyDescent="0.25">
      <c r="A86" s="9">
        <v>342</v>
      </c>
      <c r="B86" s="3" t="s">
        <v>1341</v>
      </c>
      <c r="C86" s="4" t="s">
        <v>5</v>
      </c>
      <c r="D86" s="5"/>
      <c r="E86" s="6"/>
      <c r="F86" s="7"/>
      <c r="G86" s="8" t="s">
        <v>1331</v>
      </c>
    </row>
    <row r="87" spans="1:7" ht="18.75" customHeight="1" x14ac:dyDescent="0.25">
      <c r="A87" s="9">
        <v>252</v>
      </c>
      <c r="B87" s="3" t="s">
        <v>980</v>
      </c>
      <c r="C87" s="4" t="s">
        <v>5</v>
      </c>
      <c r="D87" s="5" t="s">
        <v>981</v>
      </c>
      <c r="E87" s="6" t="s">
        <v>982</v>
      </c>
      <c r="F87" s="7" t="s">
        <v>983</v>
      </c>
      <c r="G87" s="8" t="s">
        <v>984</v>
      </c>
    </row>
    <row r="88" spans="1:7" ht="18.75" customHeight="1" x14ac:dyDescent="0.25">
      <c r="A88" s="9">
        <v>224</v>
      </c>
      <c r="B88" s="3" t="s">
        <v>852</v>
      </c>
      <c r="C88" s="4" t="s">
        <v>5</v>
      </c>
      <c r="D88" s="5" t="s">
        <v>853</v>
      </c>
      <c r="E88" s="6" t="s">
        <v>854</v>
      </c>
      <c r="F88" s="7" t="s">
        <v>855</v>
      </c>
      <c r="G88" s="8" t="s">
        <v>856</v>
      </c>
    </row>
    <row r="89" spans="1:7" ht="18.75" customHeight="1" x14ac:dyDescent="0.25">
      <c r="A89" s="9">
        <v>265</v>
      </c>
      <c r="B89" s="3" t="s">
        <v>1033</v>
      </c>
      <c r="C89" s="4" t="s">
        <v>5</v>
      </c>
      <c r="D89" s="5" t="s">
        <v>1034</v>
      </c>
      <c r="E89" s="6" t="s">
        <v>1035</v>
      </c>
      <c r="F89" s="7" t="s">
        <v>1036</v>
      </c>
      <c r="G89" s="8" t="s">
        <v>1037</v>
      </c>
    </row>
    <row r="90" spans="1:7" ht="18.75" customHeight="1" x14ac:dyDescent="0.25">
      <c r="A90" s="9">
        <v>148</v>
      </c>
      <c r="B90" s="3" t="s">
        <v>578</v>
      </c>
      <c r="C90" s="4" t="s">
        <v>5</v>
      </c>
      <c r="D90" s="5" t="s">
        <v>8</v>
      </c>
      <c r="E90" s="6" t="s">
        <v>579</v>
      </c>
      <c r="F90" s="7" t="s">
        <v>580</v>
      </c>
      <c r="G90" s="8" t="s">
        <v>68</v>
      </c>
    </row>
    <row r="91" spans="1:7" ht="18.75" customHeight="1" x14ac:dyDescent="0.25">
      <c r="A91" s="9">
        <v>5</v>
      </c>
      <c r="B91" s="3" t="s">
        <v>26</v>
      </c>
      <c r="C91" s="4" t="s">
        <v>5</v>
      </c>
      <c r="D91" s="5" t="s">
        <v>27</v>
      </c>
      <c r="E91" s="6" t="s">
        <v>28</v>
      </c>
      <c r="F91" s="7" t="s">
        <v>29</v>
      </c>
      <c r="G91" s="8" t="s">
        <v>30</v>
      </c>
    </row>
    <row r="92" spans="1:7" ht="18.75" customHeight="1" x14ac:dyDescent="0.25">
      <c r="A92" s="9">
        <v>4</v>
      </c>
      <c r="B92" s="3" t="s">
        <v>21</v>
      </c>
      <c r="C92" s="4" t="s">
        <v>5</v>
      </c>
      <c r="D92" s="5" t="s">
        <v>22</v>
      </c>
      <c r="E92" s="6" t="s">
        <v>23</v>
      </c>
      <c r="F92" s="7" t="s">
        <v>24</v>
      </c>
      <c r="G92" s="8" t="s">
        <v>25</v>
      </c>
    </row>
    <row r="93" spans="1:7" ht="18.75" customHeight="1" x14ac:dyDescent="0.25">
      <c r="A93" s="9">
        <v>182</v>
      </c>
      <c r="B93" s="3" t="s">
        <v>661</v>
      </c>
      <c r="C93" s="4" t="s">
        <v>5</v>
      </c>
      <c r="D93" s="5" t="s">
        <v>662</v>
      </c>
      <c r="E93" s="6" t="s">
        <v>663</v>
      </c>
      <c r="F93" s="7" t="s">
        <v>664</v>
      </c>
      <c r="G93" s="8" t="s">
        <v>665</v>
      </c>
    </row>
    <row r="94" spans="1:7" ht="18.75" customHeight="1" x14ac:dyDescent="0.25">
      <c r="A94" s="9">
        <v>149</v>
      </c>
      <c r="B94" s="3" t="s">
        <v>581</v>
      </c>
      <c r="C94" s="4" t="s">
        <v>5</v>
      </c>
      <c r="D94" s="5" t="s">
        <v>582</v>
      </c>
      <c r="E94" s="6" t="s">
        <v>582</v>
      </c>
      <c r="F94" s="7" t="s">
        <v>8</v>
      </c>
      <c r="G94" s="8" t="s">
        <v>493</v>
      </c>
    </row>
    <row r="95" spans="1:7" ht="18.75" customHeight="1" x14ac:dyDescent="0.25">
      <c r="A95" s="9">
        <v>21</v>
      </c>
      <c r="B95" s="3" t="s">
        <v>91</v>
      </c>
      <c r="C95" s="4" t="s">
        <v>5</v>
      </c>
      <c r="D95" s="5" t="s">
        <v>92</v>
      </c>
      <c r="E95" s="6" t="s">
        <v>93</v>
      </c>
      <c r="F95" s="7" t="s">
        <v>94</v>
      </c>
      <c r="G95" s="8" t="s">
        <v>95</v>
      </c>
    </row>
    <row r="96" spans="1:7" ht="18.75" customHeight="1" x14ac:dyDescent="0.25">
      <c r="A96" s="9">
        <v>199</v>
      </c>
      <c r="B96" s="3" t="s">
        <v>738</v>
      </c>
      <c r="C96" s="4" t="s">
        <v>5</v>
      </c>
      <c r="D96" s="5" t="s">
        <v>739</v>
      </c>
      <c r="E96" s="6" t="s">
        <v>740</v>
      </c>
      <c r="F96" s="7" t="s">
        <v>741</v>
      </c>
      <c r="G96" s="8" t="s">
        <v>742</v>
      </c>
    </row>
    <row r="97" spans="1:7" ht="18.75" customHeight="1" x14ac:dyDescent="0.25">
      <c r="A97" s="9">
        <v>331</v>
      </c>
      <c r="B97" s="3" t="s">
        <v>1326</v>
      </c>
      <c r="C97" s="4" t="s">
        <v>5</v>
      </c>
      <c r="D97" s="5" t="s">
        <v>1327</v>
      </c>
      <c r="E97" s="6" t="s">
        <v>1328</v>
      </c>
      <c r="F97" s="7" t="s">
        <v>1329</v>
      </c>
      <c r="G97" s="8" t="s">
        <v>75</v>
      </c>
    </row>
    <row r="98" spans="1:7" ht="18.75" hidden="1" customHeight="1" x14ac:dyDescent="0.25">
      <c r="A98" s="9">
        <v>185</v>
      </c>
      <c r="B98" s="22" t="s">
        <v>676</v>
      </c>
      <c r="C98" s="4" t="s">
        <v>5</v>
      </c>
      <c r="D98" s="5">
        <v>524.4</v>
      </c>
      <c r="E98" s="6">
        <v>540.39</v>
      </c>
      <c r="F98" s="7">
        <v>-15.99</v>
      </c>
      <c r="G98" s="8" t="s">
        <v>677</v>
      </c>
    </row>
    <row r="99" spans="1:7" ht="18.75" customHeight="1" x14ac:dyDescent="0.25">
      <c r="A99" s="9">
        <v>194</v>
      </c>
      <c r="B99" s="3" t="s">
        <v>714</v>
      </c>
      <c r="C99" s="4" t="s">
        <v>5</v>
      </c>
      <c r="D99" s="5" t="s">
        <v>715</v>
      </c>
      <c r="E99" s="6" t="s">
        <v>716</v>
      </c>
      <c r="F99" s="7" t="s">
        <v>717</v>
      </c>
      <c r="G99" s="8" t="s">
        <v>718</v>
      </c>
    </row>
    <row r="100" spans="1:7" ht="18.75" customHeight="1" x14ac:dyDescent="0.25">
      <c r="A100" s="9">
        <v>31</v>
      </c>
      <c r="B100" s="3" t="s">
        <v>140</v>
      </c>
      <c r="C100" s="4" t="s">
        <v>5</v>
      </c>
      <c r="D100" s="5" t="s">
        <v>141</v>
      </c>
      <c r="E100" s="6" t="s">
        <v>142</v>
      </c>
      <c r="F100" s="7" t="s">
        <v>143</v>
      </c>
      <c r="G100" s="8" t="s">
        <v>144</v>
      </c>
    </row>
    <row r="101" spans="1:7" ht="18.75" customHeight="1" x14ac:dyDescent="0.25">
      <c r="A101" s="9">
        <v>303</v>
      </c>
      <c r="B101" s="3" t="s">
        <v>1202</v>
      </c>
      <c r="C101" s="4" t="s">
        <v>5</v>
      </c>
      <c r="D101" s="5" t="s">
        <v>1203</v>
      </c>
      <c r="E101" s="6" t="s">
        <v>1204</v>
      </c>
      <c r="F101" s="7" t="s">
        <v>1205</v>
      </c>
      <c r="G101" s="8" t="s">
        <v>1206</v>
      </c>
    </row>
    <row r="102" spans="1:7" ht="18.75" customHeight="1" x14ac:dyDescent="0.25">
      <c r="A102" s="9">
        <v>234</v>
      </c>
      <c r="B102" s="3" t="s">
        <v>901</v>
      </c>
      <c r="C102" s="4" t="s">
        <v>5</v>
      </c>
      <c r="D102" s="5" t="s">
        <v>902</v>
      </c>
      <c r="E102" s="6" t="s">
        <v>903</v>
      </c>
      <c r="F102" s="7" t="s">
        <v>904</v>
      </c>
      <c r="G102" s="8" t="s">
        <v>905</v>
      </c>
    </row>
    <row r="103" spans="1:7" ht="18.75" customHeight="1" x14ac:dyDescent="0.25">
      <c r="A103" s="9">
        <v>172</v>
      </c>
      <c r="B103" s="3" t="s">
        <v>637</v>
      </c>
      <c r="C103" s="4" t="s">
        <v>5</v>
      </c>
      <c r="D103" s="5" t="s">
        <v>638</v>
      </c>
      <c r="E103" s="6" t="s">
        <v>638</v>
      </c>
      <c r="F103" s="7" t="s">
        <v>8</v>
      </c>
      <c r="G103" s="8" t="s">
        <v>493</v>
      </c>
    </row>
    <row r="104" spans="1:7" ht="18.75" customHeight="1" x14ac:dyDescent="0.25">
      <c r="A104" s="9">
        <v>249</v>
      </c>
      <c r="B104" s="3" t="s">
        <v>966</v>
      </c>
      <c r="C104" s="4" t="s">
        <v>5</v>
      </c>
      <c r="D104" s="5" t="s">
        <v>967</v>
      </c>
      <c r="E104" s="6" t="s">
        <v>968</v>
      </c>
      <c r="F104" s="7" t="s">
        <v>969</v>
      </c>
      <c r="G104" s="8" t="s">
        <v>970</v>
      </c>
    </row>
    <row r="105" spans="1:7" ht="18.75" customHeight="1" x14ac:dyDescent="0.25">
      <c r="A105" s="9">
        <v>329</v>
      </c>
      <c r="B105" s="3" t="s">
        <v>1317</v>
      </c>
      <c r="C105" s="4" t="s">
        <v>5</v>
      </c>
      <c r="D105" s="5" t="s">
        <v>1318</v>
      </c>
      <c r="E105" s="6" t="s">
        <v>1319</v>
      </c>
      <c r="F105" s="7" t="s">
        <v>1320</v>
      </c>
      <c r="G105" s="8" t="s">
        <v>842</v>
      </c>
    </row>
    <row r="106" spans="1:7" ht="18.75" hidden="1" customHeight="1" x14ac:dyDescent="0.25">
      <c r="A106" s="9">
        <v>295</v>
      </c>
      <c r="B106" s="22" t="s">
        <v>1172</v>
      </c>
      <c r="C106" s="4" t="s">
        <v>5</v>
      </c>
      <c r="D106" s="5">
        <v>222</v>
      </c>
      <c r="E106" s="6">
        <v>555.63</v>
      </c>
      <c r="F106" s="7">
        <v>-333.63</v>
      </c>
      <c r="G106" s="8" t="s">
        <v>1173</v>
      </c>
    </row>
    <row r="107" spans="1:7" ht="18.75" customHeight="1" x14ac:dyDescent="0.25">
      <c r="A107" s="9">
        <v>231</v>
      </c>
      <c r="B107" s="3" t="s">
        <v>886</v>
      </c>
      <c r="C107" s="4" t="s">
        <v>5</v>
      </c>
      <c r="D107" s="5" t="s">
        <v>887</v>
      </c>
      <c r="E107" s="6" t="s">
        <v>888</v>
      </c>
      <c r="F107" s="7" t="s">
        <v>889</v>
      </c>
      <c r="G107" s="8" t="s">
        <v>890</v>
      </c>
    </row>
    <row r="108" spans="1:7" ht="18.75" customHeight="1" x14ac:dyDescent="0.25">
      <c r="A108" s="9">
        <v>269</v>
      </c>
      <c r="B108" s="3" t="s">
        <v>1052</v>
      </c>
      <c r="C108" s="4" t="s">
        <v>5</v>
      </c>
      <c r="D108" s="5" t="s">
        <v>1053</v>
      </c>
      <c r="E108" s="6" t="s">
        <v>1054</v>
      </c>
      <c r="F108" s="7" t="s">
        <v>1055</v>
      </c>
      <c r="G108" s="8" t="s">
        <v>1056</v>
      </c>
    </row>
    <row r="109" spans="1:7" ht="18.75" customHeight="1" x14ac:dyDescent="0.25">
      <c r="A109" s="9">
        <v>71</v>
      </c>
      <c r="B109" s="3" t="s">
        <v>297</v>
      </c>
      <c r="C109" s="4" t="s">
        <v>5</v>
      </c>
      <c r="D109" s="5" t="s">
        <v>298</v>
      </c>
      <c r="E109" s="6" t="s">
        <v>299</v>
      </c>
      <c r="F109" s="7" t="s">
        <v>300</v>
      </c>
      <c r="G109" s="8" t="s">
        <v>301</v>
      </c>
    </row>
    <row r="110" spans="1:7" ht="18.75" customHeight="1" x14ac:dyDescent="0.25">
      <c r="A110" s="9">
        <v>328</v>
      </c>
      <c r="B110" s="3" t="s">
        <v>1312</v>
      </c>
      <c r="C110" s="4" t="s">
        <v>5</v>
      </c>
      <c r="D110" s="5" t="s">
        <v>1313</v>
      </c>
      <c r="E110" s="6" t="s">
        <v>1314</v>
      </c>
      <c r="F110" s="7" t="s">
        <v>1315</v>
      </c>
      <c r="G110" s="8" t="s">
        <v>1316</v>
      </c>
    </row>
    <row r="111" spans="1:7" ht="18.75" customHeight="1" x14ac:dyDescent="0.25">
      <c r="A111" s="9">
        <v>201</v>
      </c>
      <c r="B111" s="3" t="s">
        <v>748</v>
      </c>
      <c r="C111" s="4" t="s">
        <v>5</v>
      </c>
      <c r="D111" s="5">
        <v>393.6</v>
      </c>
      <c r="E111" s="6">
        <v>442.49</v>
      </c>
      <c r="F111" s="7">
        <v>-48.89</v>
      </c>
      <c r="G111" s="8" t="s">
        <v>749</v>
      </c>
    </row>
    <row r="112" spans="1:7" ht="18.75" customHeight="1" x14ac:dyDescent="0.25">
      <c r="A112" s="9">
        <v>135</v>
      </c>
      <c r="B112" s="3" t="s">
        <v>542</v>
      </c>
      <c r="C112" s="4" t="s">
        <v>5</v>
      </c>
      <c r="D112" s="5" t="s">
        <v>8</v>
      </c>
      <c r="E112" s="6" t="s">
        <v>543</v>
      </c>
      <c r="F112" s="7" t="s">
        <v>544</v>
      </c>
      <c r="G112" s="8" t="s">
        <v>545</v>
      </c>
    </row>
    <row r="113" spans="1:7" ht="18.75" customHeight="1" x14ac:dyDescent="0.25">
      <c r="A113" s="9">
        <v>43</v>
      </c>
      <c r="B113" s="3" t="s">
        <v>188</v>
      </c>
      <c r="C113" s="4" t="s">
        <v>5</v>
      </c>
      <c r="D113" s="5" t="s">
        <v>189</v>
      </c>
      <c r="E113" s="6" t="s">
        <v>190</v>
      </c>
      <c r="F113" s="7" t="s">
        <v>191</v>
      </c>
      <c r="G113" s="8" t="s">
        <v>192</v>
      </c>
    </row>
    <row r="114" spans="1:7" ht="18.75" customHeight="1" x14ac:dyDescent="0.25">
      <c r="A114" s="9">
        <v>173</v>
      </c>
      <c r="B114" s="3" t="s">
        <v>639</v>
      </c>
      <c r="C114" s="4" t="s">
        <v>5</v>
      </c>
      <c r="D114" s="5" t="s">
        <v>8</v>
      </c>
      <c r="E114" s="6" t="s">
        <v>8</v>
      </c>
      <c r="F114" s="7" t="s">
        <v>8</v>
      </c>
      <c r="G114" s="8" t="s">
        <v>493</v>
      </c>
    </row>
    <row r="115" spans="1:7" ht="18.75" customHeight="1" x14ac:dyDescent="0.25">
      <c r="A115" s="9">
        <v>35</v>
      </c>
      <c r="B115" s="3" t="s">
        <v>157</v>
      </c>
      <c r="C115" s="4" t="s">
        <v>5</v>
      </c>
      <c r="D115" s="5" t="s">
        <v>158</v>
      </c>
      <c r="E115" s="6" t="s">
        <v>159</v>
      </c>
      <c r="F115" s="7" t="s">
        <v>160</v>
      </c>
      <c r="G115" s="8" t="s">
        <v>161</v>
      </c>
    </row>
    <row r="116" spans="1:7" ht="18.75" customHeight="1" x14ac:dyDescent="0.25">
      <c r="A116" s="9">
        <v>156</v>
      </c>
      <c r="B116" s="3" t="s">
        <v>598</v>
      </c>
      <c r="C116" s="4" t="s">
        <v>5</v>
      </c>
      <c r="D116" s="5" t="s">
        <v>8</v>
      </c>
      <c r="E116" s="6" t="s">
        <v>599</v>
      </c>
      <c r="F116" s="7" t="s">
        <v>600</v>
      </c>
      <c r="G116" s="8" t="s">
        <v>601</v>
      </c>
    </row>
    <row r="117" spans="1:7" ht="18.75" customHeight="1" x14ac:dyDescent="0.25">
      <c r="A117" s="9">
        <v>155</v>
      </c>
      <c r="B117" s="3" t="s">
        <v>594</v>
      </c>
      <c r="C117" s="4" t="s">
        <v>5</v>
      </c>
      <c r="D117" s="5" t="s">
        <v>8</v>
      </c>
      <c r="E117" s="6" t="s">
        <v>595</v>
      </c>
      <c r="F117" s="7" t="s">
        <v>596</v>
      </c>
      <c r="G117" s="8" t="s">
        <v>597</v>
      </c>
    </row>
    <row r="118" spans="1:7" ht="18.75" customHeight="1" x14ac:dyDescent="0.25">
      <c r="A118" s="9">
        <v>117</v>
      </c>
      <c r="B118" s="3" t="s">
        <v>494</v>
      </c>
      <c r="C118" s="4" t="s">
        <v>5</v>
      </c>
      <c r="D118" s="5" t="s">
        <v>8</v>
      </c>
      <c r="E118" s="6" t="s">
        <v>495</v>
      </c>
      <c r="F118" s="7" t="s">
        <v>496</v>
      </c>
      <c r="G118" s="8" t="s">
        <v>497</v>
      </c>
    </row>
    <row r="119" spans="1:7" ht="18.75" customHeight="1" x14ac:dyDescent="0.25">
      <c r="A119" s="9">
        <v>216</v>
      </c>
      <c r="B119" s="3" t="s">
        <v>815</v>
      </c>
      <c r="C119" s="4" t="s">
        <v>5</v>
      </c>
      <c r="D119" s="5" t="s">
        <v>816</v>
      </c>
      <c r="E119" s="6" t="s">
        <v>817</v>
      </c>
      <c r="F119" s="7" t="s">
        <v>818</v>
      </c>
      <c r="G119" s="8" t="s">
        <v>819</v>
      </c>
    </row>
    <row r="120" spans="1:7" ht="18.75" customHeight="1" x14ac:dyDescent="0.25">
      <c r="A120" s="9">
        <v>53</v>
      </c>
      <c r="B120" s="3" t="s">
        <v>226</v>
      </c>
      <c r="C120" s="4" t="s">
        <v>5</v>
      </c>
      <c r="D120" s="5" t="s">
        <v>227</v>
      </c>
      <c r="E120" s="6" t="s">
        <v>228</v>
      </c>
      <c r="F120" s="7" t="s">
        <v>229</v>
      </c>
      <c r="G120" s="8" t="s">
        <v>230</v>
      </c>
    </row>
    <row r="121" spans="1:7" ht="18.75" customHeight="1" x14ac:dyDescent="0.25">
      <c r="A121" s="9">
        <v>188</v>
      </c>
      <c r="B121" s="3" t="s">
        <v>688</v>
      </c>
      <c r="C121" s="4" t="s">
        <v>5</v>
      </c>
      <c r="D121" s="5" t="s">
        <v>689</v>
      </c>
      <c r="E121" s="6" t="s">
        <v>690</v>
      </c>
      <c r="F121" s="7" t="s">
        <v>691</v>
      </c>
      <c r="G121" s="8" t="s">
        <v>692</v>
      </c>
    </row>
    <row r="122" spans="1:7" ht="18.75" customHeight="1" x14ac:dyDescent="0.25">
      <c r="A122" s="9">
        <v>154</v>
      </c>
      <c r="B122" s="3" t="s">
        <v>590</v>
      </c>
      <c r="C122" s="4" t="s">
        <v>5</v>
      </c>
      <c r="D122" s="5" t="s">
        <v>8</v>
      </c>
      <c r="E122" s="6" t="s">
        <v>591</v>
      </c>
      <c r="F122" s="7" t="s">
        <v>592</v>
      </c>
      <c r="G122" s="8" t="s">
        <v>593</v>
      </c>
    </row>
    <row r="123" spans="1:7" ht="18.75" customHeight="1" x14ac:dyDescent="0.25">
      <c r="A123" s="9">
        <v>208</v>
      </c>
      <c r="B123" s="3" t="s">
        <v>776</v>
      </c>
      <c r="C123" s="4" t="s">
        <v>5</v>
      </c>
      <c r="D123" s="5" t="s">
        <v>777</v>
      </c>
      <c r="E123" s="6" t="s">
        <v>778</v>
      </c>
      <c r="F123" s="7" t="s">
        <v>779</v>
      </c>
      <c r="G123" s="8" t="s">
        <v>780</v>
      </c>
    </row>
    <row r="124" spans="1:7" ht="18.75" customHeight="1" x14ac:dyDescent="0.25">
      <c r="A124" s="9">
        <v>123</v>
      </c>
      <c r="B124" s="3" t="s">
        <v>513</v>
      </c>
      <c r="C124" s="4" t="s">
        <v>5</v>
      </c>
      <c r="D124" s="5" t="s">
        <v>514</v>
      </c>
      <c r="E124" s="6" t="s">
        <v>514</v>
      </c>
      <c r="F124" s="7" t="s">
        <v>8</v>
      </c>
      <c r="G124" s="8" t="s">
        <v>515</v>
      </c>
    </row>
    <row r="125" spans="1:7" ht="18.75" customHeight="1" x14ac:dyDescent="0.25">
      <c r="A125" s="9">
        <v>307</v>
      </c>
      <c r="B125" s="3" t="s">
        <v>1219</v>
      </c>
      <c r="C125" s="4" t="s">
        <v>5</v>
      </c>
      <c r="D125" s="5" t="s">
        <v>1220</v>
      </c>
      <c r="E125" s="6" t="s">
        <v>1221</v>
      </c>
      <c r="F125" s="7" t="s">
        <v>1222</v>
      </c>
      <c r="G125" s="8" t="s">
        <v>1157</v>
      </c>
    </row>
    <row r="126" spans="1:7" ht="18.75" customHeight="1" x14ac:dyDescent="0.25">
      <c r="A126" s="9">
        <v>193</v>
      </c>
      <c r="B126" s="3" t="s">
        <v>709</v>
      </c>
      <c r="C126" s="4" t="s">
        <v>5</v>
      </c>
      <c r="D126" s="5" t="s">
        <v>710</v>
      </c>
      <c r="E126" s="6" t="s">
        <v>711</v>
      </c>
      <c r="F126" s="7" t="s">
        <v>712</v>
      </c>
      <c r="G126" s="8" t="s">
        <v>713</v>
      </c>
    </row>
    <row r="127" spans="1:7" ht="18.75" customHeight="1" x14ac:dyDescent="0.25">
      <c r="A127" s="9">
        <v>165</v>
      </c>
      <c r="B127" s="3" t="s">
        <v>623</v>
      </c>
      <c r="C127" s="4" t="s">
        <v>5</v>
      </c>
      <c r="D127" s="5" t="s">
        <v>624</v>
      </c>
      <c r="E127" s="6" t="s">
        <v>624</v>
      </c>
      <c r="F127" s="7" t="s">
        <v>8</v>
      </c>
      <c r="G127" s="8" t="s">
        <v>493</v>
      </c>
    </row>
    <row r="128" spans="1:7" ht="18.75" customHeight="1" x14ac:dyDescent="0.25">
      <c r="A128" s="9">
        <v>160</v>
      </c>
      <c r="B128" s="3" t="s">
        <v>611</v>
      </c>
      <c r="C128" s="4" t="s">
        <v>5</v>
      </c>
      <c r="D128" s="5" t="s">
        <v>8</v>
      </c>
      <c r="E128" s="6" t="s">
        <v>612</v>
      </c>
      <c r="F128" s="7" t="s">
        <v>613</v>
      </c>
      <c r="G128" s="8" t="s">
        <v>614</v>
      </c>
    </row>
    <row r="129" spans="1:7" ht="18.75" customHeight="1" x14ac:dyDescent="0.25">
      <c r="A129" s="9">
        <v>258</v>
      </c>
      <c r="B129" s="3" t="s">
        <v>1004</v>
      </c>
      <c r="C129" s="4" t="s">
        <v>5</v>
      </c>
      <c r="D129" s="5" t="s">
        <v>1005</v>
      </c>
      <c r="E129" s="6" t="s">
        <v>1006</v>
      </c>
      <c r="F129" s="7" t="s">
        <v>1007</v>
      </c>
      <c r="G129" s="8" t="s">
        <v>335</v>
      </c>
    </row>
    <row r="130" spans="1:7" ht="18.75" customHeight="1" x14ac:dyDescent="0.25">
      <c r="A130" s="9">
        <v>10</v>
      </c>
      <c r="B130" s="3" t="s">
        <v>45</v>
      </c>
      <c r="C130" s="4" t="s">
        <v>5</v>
      </c>
      <c r="D130" s="5" t="s">
        <v>46</v>
      </c>
      <c r="E130" s="6" t="s">
        <v>47</v>
      </c>
      <c r="F130" s="7" t="s">
        <v>48</v>
      </c>
      <c r="G130" s="8" t="s">
        <v>49</v>
      </c>
    </row>
    <row r="131" spans="1:7" ht="18.75" hidden="1" customHeight="1" x14ac:dyDescent="0.25">
      <c r="A131" s="9">
        <v>276</v>
      </c>
      <c r="B131" s="22" t="s">
        <v>1084</v>
      </c>
      <c r="C131" s="4" t="s">
        <v>5</v>
      </c>
      <c r="D131" s="5">
        <v>812.4</v>
      </c>
      <c r="E131" s="16">
        <v>1530.61</v>
      </c>
      <c r="F131" s="7">
        <v>-718.21</v>
      </c>
      <c r="G131" s="8" t="s">
        <v>1085</v>
      </c>
    </row>
    <row r="132" spans="1:7" ht="18.75" customHeight="1" x14ac:dyDescent="0.25">
      <c r="A132" s="9">
        <v>69</v>
      </c>
      <c r="B132" s="3" t="s">
        <v>290</v>
      </c>
      <c r="C132" s="4" t="s">
        <v>5</v>
      </c>
      <c r="D132" s="5" t="s">
        <v>291</v>
      </c>
      <c r="E132" s="6" t="s">
        <v>292</v>
      </c>
      <c r="F132" s="7" t="s">
        <v>293</v>
      </c>
      <c r="G132" s="8" t="s">
        <v>294</v>
      </c>
    </row>
    <row r="133" spans="1:7" ht="18.75" customHeight="1" x14ac:dyDescent="0.25">
      <c r="A133" s="9">
        <v>20</v>
      </c>
      <c r="B133" s="3" t="s">
        <v>86</v>
      </c>
      <c r="C133" s="4" t="s">
        <v>5</v>
      </c>
      <c r="D133" s="5" t="s">
        <v>87</v>
      </c>
      <c r="E133" s="6" t="s">
        <v>88</v>
      </c>
      <c r="F133" s="7" t="s">
        <v>89</v>
      </c>
      <c r="G133" s="8" t="s">
        <v>90</v>
      </c>
    </row>
    <row r="134" spans="1:7" ht="18.75" hidden="1" customHeight="1" x14ac:dyDescent="0.25">
      <c r="A134" s="9">
        <v>305</v>
      </c>
      <c r="B134" s="22" t="s">
        <v>1212</v>
      </c>
      <c r="C134" s="4" t="s">
        <v>5</v>
      </c>
      <c r="D134" s="5">
        <v>350.8</v>
      </c>
      <c r="E134" s="16">
        <v>1028.3219999999999</v>
      </c>
      <c r="F134" s="7">
        <v>-677.52200000000005</v>
      </c>
      <c r="G134" s="8" t="s">
        <v>1213</v>
      </c>
    </row>
    <row r="135" spans="1:7" ht="18.75" hidden="1" customHeight="1" x14ac:dyDescent="0.25">
      <c r="A135" s="9">
        <v>70</v>
      </c>
      <c r="B135" s="22" t="s">
        <v>295</v>
      </c>
      <c r="C135" s="4" t="s">
        <v>5</v>
      </c>
      <c r="D135" s="15">
        <v>1316</v>
      </c>
      <c r="E135" s="16">
        <v>1073.05</v>
      </c>
      <c r="F135" s="7">
        <v>242.95</v>
      </c>
      <c r="G135" s="8" t="s">
        <v>296</v>
      </c>
    </row>
    <row r="136" spans="1:7" ht="18.75" customHeight="1" x14ac:dyDescent="0.25">
      <c r="A136" s="9">
        <v>22</v>
      </c>
      <c r="B136" s="3" t="s">
        <v>96</v>
      </c>
      <c r="C136" s="4" t="s">
        <v>5</v>
      </c>
      <c r="D136" s="5" t="s">
        <v>97</v>
      </c>
      <c r="E136" s="6" t="s">
        <v>98</v>
      </c>
      <c r="F136" s="7" t="s">
        <v>99</v>
      </c>
      <c r="G136" s="8" t="s">
        <v>100</v>
      </c>
    </row>
    <row r="137" spans="1:7" ht="18.75" customHeight="1" x14ac:dyDescent="0.25">
      <c r="A137" s="9">
        <v>134</v>
      </c>
      <c r="B137" s="3" t="s">
        <v>538</v>
      </c>
      <c r="C137" s="4" t="s">
        <v>5</v>
      </c>
      <c r="D137" s="5" t="s">
        <v>8</v>
      </c>
      <c r="E137" s="6" t="s">
        <v>539</v>
      </c>
      <c r="F137" s="7" t="s">
        <v>540</v>
      </c>
      <c r="G137" s="8" t="s">
        <v>541</v>
      </c>
    </row>
    <row r="138" spans="1:7" ht="18.75" customHeight="1" x14ac:dyDescent="0.25">
      <c r="A138" s="9">
        <v>106</v>
      </c>
      <c r="B138" s="3" t="s">
        <v>449</v>
      </c>
      <c r="C138" s="4" t="s">
        <v>5</v>
      </c>
      <c r="D138" s="5" t="s">
        <v>450</v>
      </c>
      <c r="E138" s="6" t="s">
        <v>451</v>
      </c>
      <c r="F138" s="7" t="s">
        <v>452</v>
      </c>
      <c r="G138" s="8" t="s">
        <v>453</v>
      </c>
    </row>
    <row r="139" spans="1:7" ht="18.75" customHeight="1" x14ac:dyDescent="0.25">
      <c r="A139" s="9">
        <v>245</v>
      </c>
      <c r="B139" s="3" t="s">
        <v>950</v>
      </c>
      <c r="C139" s="4" t="s">
        <v>5</v>
      </c>
      <c r="D139" s="5" t="s">
        <v>951</v>
      </c>
      <c r="E139" s="6" t="s">
        <v>952</v>
      </c>
      <c r="F139" s="7" t="s">
        <v>953</v>
      </c>
      <c r="G139" s="8" t="s">
        <v>389</v>
      </c>
    </row>
    <row r="140" spans="1:7" ht="18.75" hidden="1" customHeight="1" x14ac:dyDescent="0.25">
      <c r="A140" s="9">
        <v>44</v>
      </c>
      <c r="B140" s="22" t="s">
        <v>193</v>
      </c>
      <c r="C140" s="4" t="s">
        <v>5</v>
      </c>
      <c r="D140" s="15">
        <v>1020.6</v>
      </c>
      <c r="E140" s="6">
        <v>668.18</v>
      </c>
      <c r="F140" s="7">
        <v>352.42</v>
      </c>
      <c r="G140" s="8" t="s">
        <v>194</v>
      </c>
    </row>
    <row r="141" spans="1:7" ht="18.75" customHeight="1" x14ac:dyDescent="0.25">
      <c r="A141" s="9">
        <v>26</v>
      </c>
      <c r="B141" s="3" t="s">
        <v>116</v>
      </c>
      <c r="C141" s="4" t="s">
        <v>5</v>
      </c>
      <c r="D141" s="5" t="s">
        <v>117</v>
      </c>
      <c r="E141" s="6" t="s">
        <v>118</v>
      </c>
      <c r="F141" s="7" t="s">
        <v>119</v>
      </c>
      <c r="G141" s="8" t="s">
        <v>120</v>
      </c>
    </row>
    <row r="142" spans="1:7" ht="18.75" customHeight="1" x14ac:dyDescent="0.25">
      <c r="A142" s="9">
        <v>318</v>
      </c>
      <c r="B142" s="3" t="s">
        <v>1267</v>
      </c>
      <c r="C142" s="4" t="s">
        <v>5</v>
      </c>
      <c r="D142" s="5" t="s">
        <v>1268</v>
      </c>
      <c r="E142" s="6" t="s">
        <v>1269</v>
      </c>
      <c r="F142" s="7" t="s">
        <v>1270</v>
      </c>
      <c r="G142" s="8" t="s">
        <v>1271</v>
      </c>
    </row>
    <row r="143" spans="1:7" ht="18.75" customHeight="1" x14ac:dyDescent="0.25">
      <c r="A143" s="9">
        <v>83</v>
      </c>
      <c r="B143" s="3" t="s">
        <v>352</v>
      </c>
      <c r="C143" s="4" t="s">
        <v>5</v>
      </c>
      <c r="D143" s="5" t="s">
        <v>353</v>
      </c>
      <c r="E143" s="6" t="s">
        <v>354</v>
      </c>
      <c r="F143" s="7" t="s">
        <v>355</v>
      </c>
      <c r="G143" s="8" t="s">
        <v>356</v>
      </c>
    </row>
    <row r="144" spans="1:7" ht="18.75" customHeight="1" x14ac:dyDescent="0.25">
      <c r="A144" s="9">
        <v>36</v>
      </c>
      <c r="B144" s="3" t="s">
        <v>162</v>
      </c>
      <c r="C144" s="4" t="s">
        <v>5</v>
      </c>
      <c r="D144" s="5" t="s">
        <v>163</v>
      </c>
      <c r="E144" s="6" t="s">
        <v>164</v>
      </c>
      <c r="F144" s="7" t="s">
        <v>165</v>
      </c>
      <c r="G144" s="8" t="s">
        <v>166</v>
      </c>
    </row>
    <row r="145" spans="1:7" ht="18.75" customHeight="1" x14ac:dyDescent="0.25">
      <c r="A145" s="9">
        <v>88</v>
      </c>
      <c r="B145" s="3" t="s">
        <v>377</v>
      </c>
      <c r="C145" s="4" t="s">
        <v>5</v>
      </c>
      <c r="D145" s="5" t="s">
        <v>378</v>
      </c>
      <c r="E145" s="6" t="s">
        <v>379</v>
      </c>
      <c r="F145" s="7" t="s">
        <v>380</v>
      </c>
      <c r="G145" s="8" t="s">
        <v>381</v>
      </c>
    </row>
    <row r="146" spans="1:7" ht="18.75" customHeight="1" x14ac:dyDescent="0.25">
      <c r="A146" s="9">
        <v>108</v>
      </c>
      <c r="B146" s="3" t="s">
        <v>459</v>
      </c>
      <c r="C146" s="4" t="s">
        <v>5</v>
      </c>
      <c r="D146" s="5" t="s">
        <v>460</v>
      </c>
      <c r="E146" s="6" t="s">
        <v>461</v>
      </c>
      <c r="F146" s="7" t="s">
        <v>462</v>
      </c>
      <c r="G146" s="8" t="s">
        <v>463</v>
      </c>
    </row>
    <row r="147" spans="1:7" ht="18.75" customHeight="1" x14ac:dyDescent="0.25">
      <c r="A147" s="9">
        <v>322</v>
      </c>
      <c r="B147" s="3" t="s">
        <v>1286</v>
      </c>
      <c r="C147" s="4" t="s">
        <v>5</v>
      </c>
      <c r="D147" s="5" t="s">
        <v>286</v>
      </c>
      <c r="E147" s="6" t="s">
        <v>1287</v>
      </c>
      <c r="F147" s="7" t="s">
        <v>1288</v>
      </c>
      <c r="G147" s="8" t="s">
        <v>1289</v>
      </c>
    </row>
    <row r="148" spans="1:7" ht="18.75" customHeight="1" x14ac:dyDescent="0.25">
      <c r="A148" s="9">
        <v>228</v>
      </c>
      <c r="B148" s="3" t="s">
        <v>872</v>
      </c>
      <c r="C148" s="4" t="s">
        <v>5</v>
      </c>
      <c r="D148" s="5" t="s">
        <v>873</v>
      </c>
      <c r="E148" s="6" t="s">
        <v>874</v>
      </c>
      <c r="F148" s="7" t="s">
        <v>875</v>
      </c>
      <c r="G148" s="8" t="s">
        <v>876</v>
      </c>
    </row>
    <row r="149" spans="1:7" ht="18.75" customHeight="1" x14ac:dyDescent="0.25">
      <c r="A149" s="9">
        <v>151</v>
      </c>
      <c r="B149" s="3" t="s">
        <v>585</v>
      </c>
      <c r="C149" s="4" t="s">
        <v>5</v>
      </c>
      <c r="D149" s="5" t="s">
        <v>586</v>
      </c>
      <c r="E149" s="6" t="s">
        <v>586</v>
      </c>
      <c r="F149" s="7" t="s">
        <v>8</v>
      </c>
      <c r="G149" s="8" t="s">
        <v>493</v>
      </c>
    </row>
    <row r="150" spans="1:7" ht="18.75" hidden="1" customHeight="1" x14ac:dyDescent="0.25">
      <c r="A150" s="9">
        <v>48</v>
      </c>
      <c r="B150" s="22" t="s">
        <v>207</v>
      </c>
      <c r="C150" s="4" t="s">
        <v>5</v>
      </c>
      <c r="D150" s="5">
        <v>633</v>
      </c>
      <c r="E150" s="6">
        <v>446.7</v>
      </c>
      <c r="F150" s="7">
        <v>186.3</v>
      </c>
      <c r="G150" s="8" t="s">
        <v>208</v>
      </c>
    </row>
    <row r="151" spans="1:7" ht="18.75" customHeight="1" x14ac:dyDescent="0.25">
      <c r="A151" s="9">
        <v>239</v>
      </c>
      <c r="B151" s="3" t="s">
        <v>925</v>
      </c>
      <c r="C151" s="4" t="s">
        <v>5</v>
      </c>
      <c r="D151" s="5" t="s">
        <v>926</v>
      </c>
      <c r="E151" s="6" t="s">
        <v>927</v>
      </c>
      <c r="F151" s="7" t="s">
        <v>928</v>
      </c>
      <c r="G151" s="8" t="s">
        <v>929</v>
      </c>
    </row>
    <row r="152" spans="1:7" ht="18.75" customHeight="1" x14ac:dyDescent="0.25">
      <c r="A152" s="9">
        <v>286</v>
      </c>
      <c r="B152" s="3" t="s">
        <v>1129</v>
      </c>
      <c r="C152" s="4" t="s">
        <v>5</v>
      </c>
      <c r="D152" s="5" t="s">
        <v>1130</v>
      </c>
      <c r="E152" s="6" t="s">
        <v>1131</v>
      </c>
      <c r="F152" s="7" t="s">
        <v>1132</v>
      </c>
      <c r="G152" s="8" t="s">
        <v>1133</v>
      </c>
    </row>
    <row r="153" spans="1:7" ht="18.75" customHeight="1" x14ac:dyDescent="0.25">
      <c r="A153" s="9">
        <v>233</v>
      </c>
      <c r="B153" s="3" t="s">
        <v>896</v>
      </c>
      <c r="C153" s="4" t="s">
        <v>5</v>
      </c>
      <c r="D153" s="5" t="s">
        <v>897</v>
      </c>
      <c r="E153" s="6" t="s">
        <v>898</v>
      </c>
      <c r="F153" s="7" t="s">
        <v>899</v>
      </c>
      <c r="G153" s="8" t="s">
        <v>900</v>
      </c>
    </row>
    <row r="154" spans="1:7" ht="18.75" customHeight="1" x14ac:dyDescent="0.25">
      <c r="A154" s="9">
        <v>291</v>
      </c>
      <c r="B154" s="3" t="s">
        <v>1153</v>
      </c>
      <c r="C154" s="4" t="s">
        <v>5</v>
      </c>
      <c r="D154" s="5" t="s">
        <v>1154</v>
      </c>
      <c r="E154" s="6" t="s">
        <v>1155</v>
      </c>
      <c r="F154" s="7" t="s">
        <v>1156</v>
      </c>
      <c r="G154" s="8" t="s">
        <v>1157</v>
      </c>
    </row>
    <row r="155" spans="1:7" ht="18.75" customHeight="1" x14ac:dyDescent="0.25">
      <c r="A155" s="9">
        <v>42</v>
      </c>
      <c r="B155" s="3" t="s">
        <v>183</v>
      </c>
      <c r="C155" s="4" t="s">
        <v>5</v>
      </c>
      <c r="D155" s="5" t="s">
        <v>184</v>
      </c>
      <c r="E155" s="6" t="s">
        <v>185</v>
      </c>
      <c r="F155" s="7" t="s">
        <v>186</v>
      </c>
      <c r="G155" s="8" t="s">
        <v>187</v>
      </c>
    </row>
    <row r="156" spans="1:7" ht="18.75" customHeight="1" x14ac:dyDescent="0.25">
      <c r="A156" s="9">
        <v>255</v>
      </c>
      <c r="B156" s="3" t="s">
        <v>989</v>
      </c>
      <c r="C156" s="4" t="s">
        <v>5</v>
      </c>
      <c r="D156" s="5" t="s">
        <v>990</v>
      </c>
      <c r="E156" s="6" t="s">
        <v>991</v>
      </c>
      <c r="F156" s="7" t="s">
        <v>992</v>
      </c>
      <c r="G156" s="8" t="s">
        <v>993</v>
      </c>
    </row>
    <row r="157" spans="1:7" ht="18.75" customHeight="1" x14ac:dyDescent="0.25">
      <c r="A157" s="9">
        <v>157</v>
      </c>
      <c r="B157" s="3" t="s">
        <v>602</v>
      </c>
      <c r="C157" s="4" t="s">
        <v>5</v>
      </c>
      <c r="D157" s="5" t="s">
        <v>8</v>
      </c>
      <c r="E157" s="6" t="s">
        <v>603</v>
      </c>
      <c r="F157" s="7" t="s">
        <v>604</v>
      </c>
      <c r="G157" s="8" t="s">
        <v>605</v>
      </c>
    </row>
    <row r="158" spans="1:7" ht="18.75" customHeight="1" x14ac:dyDescent="0.25">
      <c r="A158" s="9">
        <v>137</v>
      </c>
      <c r="B158" s="3" t="s">
        <v>550</v>
      </c>
      <c r="C158" s="4" t="s">
        <v>5</v>
      </c>
      <c r="D158" s="5" t="s">
        <v>8</v>
      </c>
      <c r="E158" s="6" t="s">
        <v>551</v>
      </c>
      <c r="F158" s="7" t="s">
        <v>552</v>
      </c>
      <c r="G158" s="8" t="s">
        <v>553</v>
      </c>
    </row>
    <row r="159" spans="1:7" ht="18.75" customHeight="1" x14ac:dyDescent="0.25">
      <c r="A159" s="9">
        <v>13</v>
      </c>
      <c r="B159" s="3" t="s">
        <v>60</v>
      </c>
      <c r="C159" s="4" t="s">
        <v>5</v>
      </c>
      <c r="D159" s="5" t="s">
        <v>61</v>
      </c>
      <c r="E159" s="6" t="s">
        <v>62</v>
      </c>
      <c r="F159" s="7" t="s">
        <v>63</v>
      </c>
      <c r="G159" s="8" t="s">
        <v>64</v>
      </c>
    </row>
    <row r="160" spans="1:7" ht="18.75" customHeight="1" x14ac:dyDescent="0.25">
      <c r="A160" s="9">
        <v>232</v>
      </c>
      <c r="B160" s="3" t="s">
        <v>891</v>
      </c>
      <c r="C160" s="4" t="s">
        <v>5</v>
      </c>
      <c r="D160" s="5" t="s">
        <v>892</v>
      </c>
      <c r="E160" s="6" t="s">
        <v>893</v>
      </c>
      <c r="F160" s="7" t="s">
        <v>894</v>
      </c>
      <c r="G160" s="8" t="s">
        <v>895</v>
      </c>
    </row>
    <row r="161" spans="1:7" ht="18.75" customHeight="1" x14ac:dyDescent="0.25">
      <c r="A161" s="9">
        <v>49</v>
      </c>
      <c r="B161" s="3" t="s">
        <v>209</v>
      </c>
      <c r="C161" s="4" t="s">
        <v>5</v>
      </c>
      <c r="D161" s="5" t="s">
        <v>210</v>
      </c>
      <c r="E161" s="6" t="s">
        <v>211</v>
      </c>
      <c r="F161" s="7" t="s">
        <v>212</v>
      </c>
      <c r="G161" s="8" t="s">
        <v>213</v>
      </c>
    </row>
    <row r="162" spans="1:7" ht="18.75" customHeight="1" x14ac:dyDescent="0.25">
      <c r="A162" s="9">
        <v>287</v>
      </c>
      <c r="B162" s="3" t="s">
        <v>1134</v>
      </c>
      <c r="C162" s="4" t="s">
        <v>5</v>
      </c>
      <c r="D162" s="5" t="s">
        <v>1135</v>
      </c>
      <c r="E162" s="6" t="s">
        <v>1136</v>
      </c>
      <c r="F162" s="7" t="s">
        <v>1137</v>
      </c>
      <c r="G162" s="8" t="s">
        <v>1138</v>
      </c>
    </row>
    <row r="163" spans="1:7" ht="18.75" customHeight="1" x14ac:dyDescent="0.25">
      <c r="A163" s="9">
        <v>81</v>
      </c>
      <c r="B163" s="3" t="s">
        <v>346</v>
      </c>
      <c r="C163" s="4" t="s">
        <v>5</v>
      </c>
      <c r="D163" s="5" t="s">
        <v>347</v>
      </c>
      <c r="E163" s="6" t="s">
        <v>348</v>
      </c>
      <c r="F163" s="7" t="s">
        <v>349</v>
      </c>
      <c r="G163" s="8" t="s">
        <v>350</v>
      </c>
    </row>
    <row r="164" spans="1:7" ht="18.75" customHeight="1" x14ac:dyDescent="0.25">
      <c r="A164" s="9">
        <v>343</v>
      </c>
      <c r="B164" s="3" t="s">
        <v>1342</v>
      </c>
      <c r="C164" s="4" t="s">
        <v>5</v>
      </c>
      <c r="D164" s="5"/>
      <c r="E164" s="6"/>
      <c r="F164" s="7"/>
      <c r="G164" s="8" t="s">
        <v>1331</v>
      </c>
    </row>
    <row r="165" spans="1:7" ht="18.75" customHeight="1" x14ac:dyDescent="0.25">
      <c r="A165" s="9">
        <v>349</v>
      </c>
      <c r="B165" s="3" t="s">
        <v>1348</v>
      </c>
      <c r="C165" s="4" t="s">
        <v>5</v>
      </c>
      <c r="D165" s="5"/>
      <c r="E165" s="6"/>
      <c r="F165" s="7"/>
      <c r="G165" s="8" t="s">
        <v>1331</v>
      </c>
    </row>
    <row r="166" spans="1:7" ht="18.75" customHeight="1" x14ac:dyDescent="0.25">
      <c r="A166" s="9">
        <v>24</v>
      </c>
      <c r="B166" s="3" t="s">
        <v>106</v>
      </c>
      <c r="C166" s="4" t="s">
        <v>5</v>
      </c>
      <c r="D166" s="5" t="s">
        <v>107</v>
      </c>
      <c r="E166" s="6" t="s">
        <v>108</v>
      </c>
      <c r="F166" s="7" t="s">
        <v>109</v>
      </c>
      <c r="G166" s="8" t="s">
        <v>110</v>
      </c>
    </row>
    <row r="167" spans="1:7" ht="18.75" customHeight="1" x14ac:dyDescent="0.25">
      <c r="A167" s="9">
        <v>248</v>
      </c>
      <c r="B167" s="3" t="s">
        <v>961</v>
      </c>
      <c r="C167" s="4" t="s">
        <v>5</v>
      </c>
      <c r="D167" s="5" t="s">
        <v>962</v>
      </c>
      <c r="E167" s="6" t="s">
        <v>963</v>
      </c>
      <c r="F167" s="7" t="s">
        <v>964</v>
      </c>
      <c r="G167" s="8" t="s">
        <v>965</v>
      </c>
    </row>
    <row r="168" spans="1:7" ht="18.75" customHeight="1" x14ac:dyDescent="0.25">
      <c r="A168" s="9">
        <v>289</v>
      </c>
      <c r="B168" s="3" t="s">
        <v>1144</v>
      </c>
      <c r="C168" s="4" t="s">
        <v>5</v>
      </c>
      <c r="D168" s="5" t="s">
        <v>694</v>
      </c>
      <c r="E168" s="6" t="s">
        <v>1145</v>
      </c>
      <c r="F168" s="7" t="s">
        <v>1146</v>
      </c>
      <c r="G168" s="8" t="s">
        <v>1147</v>
      </c>
    </row>
    <row r="169" spans="1:7" ht="18.75" customHeight="1" x14ac:dyDescent="0.25">
      <c r="A169" s="9">
        <v>76</v>
      </c>
      <c r="B169" s="3" t="s">
        <v>321</v>
      </c>
      <c r="C169" s="4" t="s">
        <v>5</v>
      </c>
      <c r="D169" s="5" t="s">
        <v>322</v>
      </c>
      <c r="E169" s="6" t="s">
        <v>323</v>
      </c>
      <c r="F169" s="7" t="s">
        <v>324</v>
      </c>
      <c r="G169" s="8" t="s">
        <v>325</v>
      </c>
    </row>
    <row r="170" spans="1:7" ht="18.75" customHeight="1" x14ac:dyDescent="0.25">
      <c r="A170" s="9">
        <v>46</v>
      </c>
      <c r="B170" s="3" t="s">
        <v>197</v>
      </c>
      <c r="C170" s="4" t="s">
        <v>5</v>
      </c>
      <c r="D170" s="5" t="s">
        <v>198</v>
      </c>
      <c r="E170" s="6" t="s">
        <v>199</v>
      </c>
      <c r="F170" s="7" t="s">
        <v>200</v>
      </c>
      <c r="G170" s="8" t="s">
        <v>201</v>
      </c>
    </row>
    <row r="171" spans="1:7" ht="18.75" customHeight="1" x14ac:dyDescent="0.25">
      <c r="A171" s="9">
        <v>213</v>
      </c>
      <c r="B171" s="3" t="s">
        <v>800</v>
      </c>
      <c r="C171" s="4" t="s">
        <v>5</v>
      </c>
      <c r="D171" s="5" t="s">
        <v>801</v>
      </c>
      <c r="E171" s="6" t="s">
        <v>802</v>
      </c>
      <c r="F171" s="7" t="s">
        <v>803</v>
      </c>
      <c r="G171" s="8" t="s">
        <v>804</v>
      </c>
    </row>
    <row r="172" spans="1:7" ht="18.75" customHeight="1" x14ac:dyDescent="0.25">
      <c r="A172" s="9">
        <v>306</v>
      </c>
      <c r="B172" s="3" t="s">
        <v>1214</v>
      </c>
      <c r="C172" s="4" t="s">
        <v>5</v>
      </c>
      <c r="D172" s="5" t="s">
        <v>1215</v>
      </c>
      <c r="E172" s="6" t="s">
        <v>1216</v>
      </c>
      <c r="F172" s="7" t="s">
        <v>1217</v>
      </c>
      <c r="G172" s="8" t="s">
        <v>1218</v>
      </c>
    </row>
    <row r="173" spans="1:7" ht="18.75" customHeight="1" x14ac:dyDescent="0.25">
      <c r="A173" s="9">
        <v>207</v>
      </c>
      <c r="B173" s="3" t="s">
        <v>771</v>
      </c>
      <c r="C173" s="4" t="s">
        <v>5</v>
      </c>
      <c r="D173" s="5" t="s">
        <v>772</v>
      </c>
      <c r="E173" s="6" t="s">
        <v>773</v>
      </c>
      <c r="F173" s="7" t="s">
        <v>774</v>
      </c>
      <c r="G173" s="8" t="s">
        <v>775</v>
      </c>
    </row>
    <row r="174" spans="1:7" ht="18.75" customHeight="1" x14ac:dyDescent="0.25">
      <c r="A174" s="9">
        <v>296</v>
      </c>
      <c r="B174" s="3" t="s">
        <v>1174</v>
      </c>
      <c r="C174" s="4" t="s">
        <v>5</v>
      </c>
      <c r="D174" s="5" t="s">
        <v>1175</v>
      </c>
      <c r="E174" s="6" t="s">
        <v>1176</v>
      </c>
      <c r="F174" s="7" t="s">
        <v>1177</v>
      </c>
      <c r="G174" s="8" t="s">
        <v>1178</v>
      </c>
    </row>
    <row r="175" spans="1:7" ht="18.75" hidden="1" customHeight="1" x14ac:dyDescent="0.25">
      <c r="A175" s="9">
        <v>241</v>
      </c>
      <c r="B175" s="22" t="s">
        <v>935</v>
      </c>
      <c r="C175" s="4" t="s">
        <v>5</v>
      </c>
      <c r="D175" s="15">
        <v>2062.4</v>
      </c>
      <c r="E175" s="16">
        <v>2912.82</v>
      </c>
      <c r="F175" s="7">
        <v>-850.42</v>
      </c>
      <c r="G175" s="8" t="s">
        <v>936</v>
      </c>
    </row>
    <row r="176" spans="1:7" ht="18.75" customHeight="1" x14ac:dyDescent="0.25">
      <c r="A176" s="9">
        <v>89</v>
      </c>
      <c r="B176" s="3" t="s">
        <v>382</v>
      </c>
      <c r="C176" s="4" t="s">
        <v>5</v>
      </c>
      <c r="D176" s="5" t="s">
        <v>258</v>
      </c>
      <c r="E176" s="6" t="s">
        <v>383</v>
      </c>
      <c r="F176" s="7" t="s">
        <v>380</v>
      </c>
      <c r="G176" s="8" t="s">
        <v>384</v>
      </c>
    </row>
    <row r="177" spans="1:7" ht="18.75" customHeight="1" x14ac:dyDescent="0.25">
      <c r="A177" s="9">
        <v>235</v>
      </c>
      <c r="B177" s="3" t="s">
        <v>906</v>
      </c>
      <c r="C177" s="4" t="s">
        <v>5</v>
      </c>
      <c r="D177" s="5" t="s">
        <v>907</v>
      </c>
      <c r="E177" s="6" t="s">
        <v>908</v>
      </c>
      <c r="F177" s="7" t="s">
        <v>909</v>
      </c>
      <c r="G177" s="8" t="s">
        <v>910</v>
      </c>
    </row>
    <row r="178" spans="1:7" ht="18.75" customHeight="1" x14ac:dyDescent="0.25">
      <c r="A178" s="9">
        <v>131</v>
      </c>
      <c r="B178" s="3" t="s">
        <v>531</v>
      </c>
      <c r="C178" s="4" t="s">
        <v>5</v>
      </c>
      <c r="D178" s="5" t="s">
        <v>532</v>
      </c>
      <c r="E178" s="6" t="s">
        <v>532</v>
      </c>
      <c r="F178" s="7" t="s">
        <v>8</v>
      </c>
      <c r="G178" s="8" t="s">
        <v>493</v>
      </c>
    </row>
    <row r="179" spans="1:7" ht="18.75" customHeight="1" x14ac:dyDescent="0.25">
      <c r="A179" s="9">
        <v>217</v>
      </c>
      <c r="B179" s="3" t="s">
        <v>820</v>
      </c>
      <c r="C179" s="4" t="s">
        <v>5</v>
      </c>
      <c r="D179" s="5" t="s">
        <v>821</v>
      </c>
      <c r="E179" s="6" t="s">
        <v>822</v>
      </c>
      <c r="F179" s="7" t="s">
        <v>823</v>
      </c>
      <c r="G179" s="8" t="s">
        <v>824</v>
      </c>
    </row>
    <row r="180" spans="1:7" ht="18.75" customHeight="1" x14ac:dyDescent="0.25">
      <c r="A180" s="9">
        <v>338</v>
      </c>
      <c r="B180" s="3" t="s">
        <v>1337</v>
      </c>
      <c r="C180" s="4" t="s">
        <v>5</v>
      </c>
      <c r="D180" s="5"/>
      <c r="E180" s="6"/>
      <c r="F180" s="7"/>
      <c r="G180" s="8" t="s">
        <v>1331</v>
      </c>
    </row>
    <row r="181" spans="1:7" ht="18.75" customHeight="1" x14ac:dyDescent="0.25">
      <c r="A181" s="9">
        <v>153</v>
      </c>
      <c r="B181" s="3" t="s">
        <v>588</v>
      </c>
      <c r="C181" s="4" t="s">
        <v>5</v>
      </c>
      <c r="D181" s="5" t="s">
        <v>589</v>
      </c>
      <c r="E181" s="6" t="s">
        <v>589</v>
      </c>
      <c r="F181" s="7" t="s">
        <v>8</v>
      </c>
      <c r="G181" s="8" t="s">
        <v>493</v>
      </c>
    </row>
    <row r="182" spans="1:7" ht="18.75" customHeight="1" x14ac:dyDescent="0.25">
      <c r="A182" s="9">
        <v>12</v>
      </c>
      <c r="B182" s="3" t="s">
        <v>55</v>
      </c>
      <c r="C182" s="4" t="s">
        <v>5</v>
      </c>
      <c r="D182" s="5" t="s">
        <v>56</v>
      </c>
      <c r="E182" s="6" t="s">
        <v>57</v>
      </c>
      <c r="F182" s="7" t="s">
        <v>58</v>
      </c>
      <c r="G182" s="8" t="s">
        <v>59</v>
      </c>
    </row>
    <row r="183" spans="1:7" ht="18.75" customHeight="1" x14ac:dyDescent="0.25">
      <c r="A183" s="9">
        <v>152</v>
      </c>
      <c r="B183" s="3" t="s">
        <v>587</v>
      </c>
      <c r="C183" s="4" t="s">
        <v>5</v>
      </c>
      <c r="D183" s="5" t="s">
        <v>8</v>
      </c>
      <c r="E183" s="6" t="s">
        <v>8</v>
      </c>
      <c r="F183" s="7" t="s">
        <v>8</v>
      </c>
      <c r="G183" s="8" t="s">
        <v>493</v>
      </c>
    </row>
    <row r="184" spans="1:7" ht="18.75" customHeight="1" x14ac:dyDescent="0.25">
      <c r="A184" s="9">
        <v>121</v>
      </c>
      <c r="B184" s="3" t="s">
        <v>506</v>
      </c>
      <c r="C184" s="4" t="s">
        <v>5</v>
      </c>
      <c r="D184" s="5" t="s">
        <v>507</v>
      </c>
      <c r="E184" s="6" t="s">
        <v>507</v>
      </c>
      <c r="F184" s="7" t="s">
        <v>8</v>
      </c>
      <c r="G184" s="8" t="s">
        <v>508</v>
      </c>
    </row>
    <row r="185" spans="1:7" ht="18.75" customHeight="1" x14ac:dyDescent="0.25">
      <c r="A185" s="9">
        <v>23</v>
      </c>
      <c r="B185" s="3" t="s">
        <v>101</v>
      </c>
      <c r="C185" s="4" t="s">
        <v>5</v>
      </c>
      <c r="D185" s="5" t="s">
        <v>102</v>
      </c>
      <c r="E185" s="6" t="s">
        <v>103</v>
      </c>
      <c r="F185" s="7" t="s">
        <v>104</v>
      </c>
      <c r="G185" s="8" t="s">
        <v>105</v>
      </c>
    </row>
    <row r="186" spans="1:7" ht="18.75" customHeight="1" x14ac:dyDescent="0.25">
      <c r="A186" s="9">
        <v>288</v>
      </c>
      <c r="B186" s="3" t="s">
        <v>1139</v>
      </c>
      <c r="C186" s="4" t="s">
        <v>5</v>
      </c>
      <c r="D186" s="5" t="s">
        <v>1140</v>
      </c>
      <c r="E186" s="6" t="s">
        <v>1141</v>
      </c>
      <c r="F186" s="7" t="s">
        <v>1142</v>
      </c>
      <c r="G186" s="8" t="s">
        <v>1143</v>
      </c>
    </row>
    <row r="187" spans="1:7" ht="18.75" customHeight="1" x14ac:dyDescent="0.25">
      <c r="A187" s="9">
        <v>200</v>
      </c>
      <c r="B187" s="3" t="s">
        <v>743</v>
      </c>
      <c r="C187" s="4" t="s">
        <v>5</v>
      </c>
      <c r="D187" s="5" t="s">
        <v>744</v>
      </c>
      <c r="E187" s="6" t="s">
        <v>745</v>
      </c>
      <c r="F187" s="7" t="s">
        <v>746</v>
      </c>
      <c r="G187" s="8" t="s">
        <v>747</v>
      </c>
    </row>
    <row r="188" spans="1:7" ht="18.75" hidden="1" customHeight="1" x14ac:dyDescent="0.25">
      <c r="A188" s="9">
        <v>253</v>
      </c>
      <c r="B188" s="22" t="s">
        <v>985</v>
      </c>
      <c r="C188" s="4" t="s">
        <v>5</v>
      </c>
      <c r="D188" s="5">
        <v>358.4</v>
      </c>
      <c r="E188" s="6">
        <v>538.91</v>
      </c>
      <c r="F188" s="7">
        <v>-180.51</v>
      </c>
      <c r="G188" s="8" t="s">
        <v>986</v>
      </c>
    </row>
    <row r="189" spans="1:7" ht="18.75" customHeight="1" x14ac:dyDescent="0.25">
      <c r="A189" s="9">
        <v>272</v>
      </c>
      <c r="B189" s="3" t="s">
        <v>1067</v>
      </c>
      <c r="C189" s="4" t="s">
        <v>5</v>
      </c>
      <c r="D189" s="5" t="s">
        <v>1068</v>
      </c>
      <c r="E189" s="6" t="s">
        <v>1069</v>
      </c>
      <c r="F189" s="7" t="s">
        <v>1070</v>
      </c>
      <c r="G189" s="8" t="s">
        <v>1071</v>
      </c>
    </row>
    <row r="190" spans="1:7" ht="18.75" customHeight="1" x14ac:dyDescent="0.25">
      <c r="A190" s="9">
        <v>344</v>
      </c>
      <c r="B190" s="3" t="s">
        <v>1343</v>
      </c>
      <c r="C190" s="4" t="s">
        <v>5</v>
      </c>
      <c r="D190" s="5"/>
      <c r="E190" s="6"/>
      <c r="F190" s="7"/>
      <c r="G190" s="8" t="s">
        <v>1331</v>
      </c>
    </row>
    <row r="191" spans="1:7" ht="18.75" customHeight="1" x14ac:dyDescent="0.25">
      <c r="A191" s="9">
        <v>39</v>
      </c>
      <c r="B191" s="3" t="s">
        <v>174</v>
      </c>
      <c r="C191" s="4" t="s">
        <v>5</v>
      </c>
      <c r="D191" s="5" t="s">
        <v>175</v>
      </c>
      <c r="E191" s="6" t="s">
        <v>176</v>
      </c>
      <c r="F191" s="7" t="s">
        <v>177</v>
      </c>
      <c r="G191" s="8" t="s">
        <v>178</v>
      </c>
    </row>
    <row r="192" spans="1:7" ht="18.75" customHeight="1" x14ac:dyDescent="0.25">
      <c r="A192" s="9">
        <v>198</v>
      </c>
      <c r="B192" s="3" t="s">
        <v>733</v>
      </c>
      <c r="C192" s="4" t="s">
        <v>5</v>
      </c>
      <c r="D192" s="5" t="s">
        <v>734</v>
      </c>
      <c r="E192" s="6" t="s">
        <v>735</v>
      </c>
      <c r="F192" s="7" t="s">
        <v>736</v>
      </c>
      <c r="G192" s="8" t="s">
        <v>737</v>
      </c>
    </row>
    <row r="193" spans="1:7" ht="18.75" hidden="1" customHeight="1" x14ac:dyDescent="0.25">
      <c r="A193" s="9">
        <v>100</v>
      </c>
      <c r="B193" s="22" t="s">
        <v>425</v>
      </c>
      <c r="C193" s="4" t="s">
        <v>5</v>
      </c>
      <c r="D193" s="5">
        <v>855.6</v>
      </c>
      <c r="E193" s="6">
        <v>796.83</v>
      </c>
      <c r="F193" s="7">
        <v>58.77</v>
      </c>
      <c r="G193" s="8" t="s">
        <v>426</v>
      </c>
    </row>
    <row r="194" spans="1:7" ht="18.75" hidden="1" customHeight="1" x14ac:dyDescent="0.25">
      <c r="A194" s="9">
        <v>98</v>
      </c>
      <c r="B194" s="22" t="s">
        <v>418</v>
      </c>
      <c r="C194" s="4" t="s">
        <v>5</v>
      </c>
      <c r="D194" s="5">
        <v>400.8</v>
      </c>
      <c r="E194" s="6">
        <v>370.48</v>
      </c>
      <c r="F194" s="7">
        <v>30.32</v>
      </c>
      <c r="G194" s="8" t="s">
        <v>419</v>
      </c>
    </row>
    <row r="195" spans="1:7" ht="18.75" hidden="1" customHeight="1" x14ac:dyDescent="0.25">
      <c r="A195" s="9">
        <v>45</v>
      </c>
      <c r="B195" s="22" t="s">
        <v>195</v>
      </c>
      <c r="C195" s="4" t="s">
        <v>5</v>
      </c>
      <c r="D195" s="5">
        <v>848.8</v>
      </c>
      <c r="E195" s="6">
        <v>583.72</v>
      </c>
      <c r="F195" s="7">
        <v>265.08</v>
      </c>
      <c r="G195" s="8" t="s">
        <v>196</v>
      </c>
    </row>
    <row r="196" spans="1:7" ht="18.75" customHeight="1" x14ac:dyDescent="0.25">
      <c r="A196" s="9">
        <v>92</v>
      </c>
      <c r="B196" s="3" t="s">
        <v>392</v>
      </c>
      <c r="C196" s="4" t="s">
        <v>5</v>
      </c>
      <c r="D196" s="5" t="s">
        <v>393</v>
      </c>
      <c r="E196" s="6" t="s">
        <v>394</v>
      </c>
      <c r="F196" s="7" t="s">
        <v>395</v>
      </c>
      <c r="G196" s="8" t="s">
        <v>396</v>
      </c>
    </row>
    <row r="197" spans="1:7" ht="18.75" customHeight="1" x14ac:dyDescent="0.25">
      <c r="A197" s="9">
        <v>51</v>
      </c>
      <c r="B197" s="3" t="s">
        <v>216</v>
      </c>
      <c r="C197" s="4" t="s">
        <v>5</v>
      </c>
      <c r="D197" s="5" t="s">
        <v>217</v>
      </c>
      <c r="E197" s="6" t="s">
        <v>218</v>
      </c>
      <c r="F197" s="7" t="s">
        <v>219</v>
      </c>
      <c r="G197" s="8" t="s">
        <v>220</v>
      </c>
    </row>
    <row r="198" spans="1:7" ht="18.75" customHeight="1" x14ac:dyDescent="0.25">
      <c r="A198" s="9">
        <v>189</v>
      </c>
      <c r="B198" s="3" t="s">
        <v>693</v>
      </c>
      <c r="C198" s="4" t="s">
        <v>5</v>
      </c>
      <c r="D198" s="5" t="s">
        <v>694</v>
      </c>
      <c r="E198" s="6" t="s">
        <v>695</v>
      </c>
      <c r="F198" s="7" t="s">
        <v>696</v>
      </c>
      <c r="G198" s="8" t="s">
        <v>697</v>
      </c>
    </row>
    <row r="199" spans="1:7" ht="18.75" customHeight="1" x14ac:dyDescent="0.25">
      <c r="A199" s="9">
        <v>111</v>
      </c>
      <c r="B199" s="3" t="s">
        <v>474</v>
      </c>
      <c r="C199" s="4" t="s">
        <v>5</v>
      </c>
      <c r="D199" s="5" t="s">
        <v>475</v>
      </c>
      <c r="E199" s="6" t="s">
        <v>476</v>
      </c>
      <c r="F199" s="7" t="s">
        <v>477</v>
      </c>
      <c r="G199" s="8" t="s">
        <v>478</v>
      </c>
    </row>
    <row r="200" spans="1:7" ht="18.75" customHeight="1" x14ac:dyDescent="0.25">
      <c r="A200" s="9">
        <v>56</v>
      </c>
      <c r="B200" s="3" t="s">
        <v>241</v>
      </c>
      <c r="C200" s="4" t="s">
        <v>5</v>
      </c>
      <c r="D200" s="5" t="s">
        <v>242</v>
      </c>
      <c r="E200" s="6" t="s">
        <v>243</v>
      </c>
      <c r="F200" s="7" t="s">
        <v>244</v>
      </c>
      <c r="G200" s="8" t="s">
        <v>245</v>
      </c>
    </row>
    <row r="201" spans="1:7" ht="18.75" customHeight="1" x14ac:dyDescent="0.25">
      <c r="A201" s="9">
        <v>114</v>
      </c>
      <c r="B201" s="3" t="s">
        <v>482</v>
      </c>
      <c r="C201" s="4" t="s">
        <v>5</v>
      </c>
      <c r="D201" s="5" t="s">
        <v>483</v>
      </c>
      <c r="E201" s="6" t="s">
        <v>484</v>
      </c>
      <c r="F201" s="7" t="s">
        <v>485</v>
      </c>
      <c r="G201" s="8" t="s">
        <v>486</v>
      </c>
    </row>
    <row r="202" spans="1:7" ht="18.75" customHeight="1" x14ac:dyDescent="0.25">
      <c r="A202" s="9">
        <v>63</v>
      </c>
      <c r="B202" s="3" t="s">
        <v>266</v>
      </c>
      <c r="C202" s="4" t="s">
        <v>5</v>
      </c>
      <c r="D202" s="5" t="s">
        <v>267</v>
      </c>
      <c r="E202" s="6" t="s">
        <v>268</v>
      </c>
      <c r="F202" s="7" t="s">
        <v>269</v>
      </c>
      <c r="G202" s="8" t="s">
        <v>270</v>
      </c>
    </row>
    <row r="203" spans="1:7" ht="18.75" customHeight="1" x14ac:dyDescent="0.25">
      <c r="A203" s="9">
        <v>263</v>
      </c>
      <c r="B203" s="3" t="s">
        <v>1023</v>
      </c>
      <c r="C203" s="4" t="s">
        <v>5</v>
      </c>
      <c r="D203" s="5" t="s">
        <v>1024</v>
      </c>
      <c r="E203" s="6" t="s">
        <v>1025</v>
      </c>
      <c r="F203" s="7" t="s">
        <v>1026</v>
      </c>
      <c r="G203" s="8" t="s">
        <v>1027</v>
      </c>
    </row>
    <row r="204" spans="1:7" ht="18.75" customHeight="1" x14ac:dyDescent="0.25">
      <c r="A204" s="9">
        <v>229</v>
      </c>
      <c r="B204" s="3" t="s">
        <v>877</v>
      </c>
      <c r="C204" s="4" t="s">
        <v>5</v>
      </c>
      <c r="D204" s="5" t="s">
        <v>878</v>
      </c>
      <c r="E204" s="6" t="s">
        <v>879</v>
      </c>
      <c r="F204" s="7" t="s">
        <v>880</v>
      </c>
      <c r="G204" s="8" t="s">
        <v>727</v>
      </c>
    </row>
    <row r="205" spans="1:7" ht="18.75" customHeight="1" x14ac:dyDescent="0.25">
      <c r="A205" s="9">
        <v>37</v>
      </c>
      <c r="B205" s="3" t="s">
        <v>167</v>
      </c>
      <c r="C205" s="4" t="s">
        <v>5</v>
      </c>
      <c r="D205" s="5" t="s">
        <v>168</v>
      </c>
      <c r="E205" s="6" t="s">
        <v>169</v>
      </c>
      <c r="F205" s="7" t="s">
        <v>170</v>
      </c>
      <c r="G205" s="8" t="s">
        <v>171</v>
      </c>
    </row>
    <row r="206" spans="1:7" ht="18.75" customHeight="1" x14ac:dyDescent="0.25">
      <c r="A206" s="9">
        <v>214</v>
      </c>
      <c r="B206" s="3" t="s">
        <v>805</v>
      </c>
      <c r="C206" s="4" t="s">
        <v>5</v>
      </c>
      <c r="D206" s="5" t="s">
        <v>806</v>
      </c>
      <c r="E206" s="6" t="s">
        <v>807</v>
      </c>
      <c r="F206" s="7" t="s">
        <v>808</v>
      </c>
      <c r="G206" s="8" t="s">
        <v>809</v>
      </c>
    </row>
    <row r="207" spans="1:7" ht="18.75" customHeight="1" x14ac:dyDescent="0.25">
      <c r="A207" s="9">
        <v>181</v>
      </c>
      <c r="B207" s="3" t="s">
        <v>656</v>
      </c>
      <c r="C207" s="4" t="s">
        <v>5</v>
      </c>
      <c r="D207" s="5" t="s">
        <v>657</v>
      </c>
      <c r="E207" s="6" t="s">
        <v>658</v>
      </c>
      <c r="F207" s="7" t="s">
        <v>659</v>
      </c>
      <c r="G207" s="8" t="s">
        <v>660</v>
      </c>
    </row>
    <row r="208" spans="1:7" ht="18.75" customHeight="1" x14ac:dyDescent="0.25">
      <c r="A208" s="9">
        <v>179</v>
      </c>
      <c r="B208" s="3" t="s">
        <v>650</v>
      </c>
      <c r="C208" s="4" t="s">
        <v>5</v>
      </c>
      <c r="D208" s="5" t="s">
        <v>651</v>
      </c>
      <c r="E208" s="6" t="s">
        <v>652</v>
      </c>
      <c r="F208" s="7" t="s">
        <v>653</v>
      </c>
      <c r="G208" s="8" t="s">
        <v>654</v>
      </c>
    </row>
    <row r="209" spans="1:7" ht="18.75" customHeight="1" x14ac:dyDescent="0.25">
      <c r="A209" s="9">
        <v>90</v>
      </c>
      <c r="B209" s="3" t="s">
        <v>385</v>
      </c>
      <c r="C209" s="4" t="s">
        <v>5</v>
      </c>
      <c r="D209" s="5" t="s">
        <v>386</v>
      </c>
      <c r="E209" s="6" t="s">
        <v>387</v>
      </c>
      <c r="F209" s="7" t="s">
        <v>388</v>
      </c>
      <c r="G209" s="8" t="s">
        <v>389</v>
      </c>
    </row>
    <row r="210" spans="1:7" ht="18.75" hidden="1" customHeight="1" x14ac:dyDescent="0.25">
      <c r="A210" s="9">
        <v>300</v>
      </c>
      <c r="B210" s="22" t="s">
        <v>1190</v>
      </c>
      <c r="C210" s="4" t="s">
        <v>5</v>
      </c>
      <c r="D210" s="5">
        <v>54.4</v>
      </c>
      <c r="E210" s="6">
        <v>154.72999999999999</v>
      </c>
      <c r="F210" s="7">
        <v>-100.33</v>
      </c>
      <c r="G210" s="8" t="s">
        <v>1191</v>
      </c>
    </row>
    <row r="211" spans="1:7" ht="18.75" customHeight="1" x14ac:dyDescent="0.25">
      <c r="A211" s="9">
        <v>268</v>
      </c>
      <c r="B211" s="3" t="s">
        <v>1047</v>
      </c>
      <c r="C211" s="4" t="s">
        <v>5</v>
      </c>
      <c r="D211" s="5" t="s">
        <v>1048</v>
      </c>
      <c r="E211" s="6" t="s">
        <v>1049</v>
      </c>
      <c r="F211" s="7" t="s">
        <v>1050</v>
      </c>
      <c r="G211" s="8" t="s">
        <v>1051</v>
      </c>
    </row>
    <row r="212" spans="1:7" ht="18.75" customHeight="1" x14ac:dyDescent="0.25">
      <c r="A212" s="9">
        <v>196</v>
      </c>
      <c r="B212" s="3" t="s">
        <v>724</v>
      </c>
      <c r="C212" s="4" t="s">
        <v>5</v>
      </c>
      <c r="D212" s="5" t="s">
        <v>107</v>
      </c>
      <c r="E212" s="6" t="s">
        <v>725</v>
      </c>
      <c r="F212" s="7" t="s">
        <v>726</v>
      </c>
      <c r="G212" s="8" t="s">
        <v>727</v>
      </c>
    </row>
    <row r="213" spans="1:7" ht="18.75" customHeight="1" x14ac:dyDescent="0.25">
      <c r="A213" s="9">
        <v>221</v>
      </c>
      <c r="B213" s="3" t="s">
        <v>839</v>
      </c>
      <c r="C213" s="4" t="s">
        <v>5</v>
      </c>
      <c r="D213" s="5" t="s">
        <v>378</v>
      </c>
      <c r="E213" s="6" t="s">
        <v>840</v>
      </c>
      <c r="F213" s="7" t="s">
        <v>841</v>
      </c>
      <c r="G213" s="8" t="s">
        <v>842</v>
      </c>
    </row>
    <row r="214" spans="1:7" ht="18.75" customHeight="1" x14ac:dyDescent="0.25">
      <c r="A214" s="9">
        <v>212</v>
      </c>
      <c r="B214" s="3" t="s">
        <v>795</v>
      </c>
      <c r="C214" s="4" t="s">
        <v>5</v>
      </c>
      <c r="D214" s="5" t="s">
        <v>796</v>
      </c>
      <c r="E214" s="6" t="s">
        <v>797</v>
      </c>
      <c r="F214" s="7" t="s">
        <v>798</v>
      </c>
      <c r="G214" s="8" t="s">
        <v>799</v>
      </c>
    </row>
    <row r="215" spans="1:7" ht="18.75" customHeight="1" x14ac:dyDescent="0.25">
      <c r="A215" s="9">
        <v>84</v>
      </c>
      <c r="B215" s="3" t="s">
        <v>357</v>
      </c>
      <c r="C215" s="4" t="s">
        <v>5</v>
      </c>
      <c r="D215" s="5" t="s">
        <v>358</v>
      </c>
      <c r="E215" s="6" t="s">
        <v>359</v>
      </c>
      <c r="F215" s="7" t="s">
        <v>360</v>
      </c>
      <c r="G215" s="8" t="s">
        <v>361</v>
      </c>
    </row>
    <row r="216" spans="1:7" ht="18.75" customHeight="1" x14ac:dyDescent="0.25">
      <c r="A216" s="9">
        <v>205</v>
      </c>
      <c r="B216" s="3" t="s">
        <v>762</v>
      </c>
      <c r="C216" s="4" t="s">
        <v>5</v>
      </c>
      <c r="D216" s="5" t="s">
        <v>763</v>
      </c>
      <c r="E216" s="6" t="s">
        <v>764</v>
      </c>
      <c r="F216" s="7" t="s">
        <v>765</v>
      </c>
      <c r="G216" s="8" t="s">
        <v>294</v>
      </c>
    </row>
    <row r="217" spans="1:7" ht="18.75" hidden="1" customHeight="1" x14ac:dyDescent="0.25">
      <c r="A217" s="9">
        <v>41</v>
      </c>
      <c r="B217" s="22" t="s">
        <v>181</v>
      </c>
      <c r="C217" s="4" t="s">
        <v>5</v>
      </c>
      <c r="D217" s="5">
        <v>742.8</v>
      </c>
      <c r="E217" s="6">
        <v>429.97</v>
      </c>
      <c r="F217" s="7">
        <v>312.83</v>
      </c>
      <c r="G217" s="8" t="s">
        <v>182</v>
      </c>
    </row>
    <row r="218" spans="1:7" ht="18.75" customHeight="1" x14ac:dyDescent="0.25">
      <c r="A218" s="9">
        <v>314</v>
      </c>
      <c r="B218" s="3" t="s">
        <v>1247</v>
      </c>
      <c r="C218" s="4" t="s">
        <v>5</v>
      </c>
      <c r="D218" s="5" t="s">
        <v>1248</v>
      </c>
      <c r="E218" s="6" t="s">
        <v>1249</v>
      </c>
      <c r="F218" s="7" t="s">
        <v>1250</v>
      </c>
      <c r="G218" s="8" t="s">
        <v>1251</v>
      </c>
    </row>
    <row r="219" spans="1:7" ht="18.75" customHeight="1" x14ac:dyDescent="0.25">
      <c r="A219" s="9">
        <v>361</v>
      </c>
      <c r="B219" s="3" t="s">
        <v>1360</v>
      </c>
      <c r="C219" s="4" t="s">
        <v>5</v>
      </c>
      <c r="D219" s="5"/>
      <c r="E219" s="6"/>
      <c r="F219" s="7"/>
      <c r="G219" s="8" t="s">
        <v>1331</v>
      </c>
    </row>
    <row r="220" spans="1:7" ht="18.75" customHeight="1" x14ac:dyDescent="0.25">
      <c r="A220" s="9">
        <v>133</v>
      </c>
      <c r="B220" s="3" t="s">
        <v>534</v>
      </c>
      <c r="C220" s="4" t="s">
        <v>5</v>
      </c>
      <c r="D220" s="5" t="s">
        <v>8</v>
      </c>
      <c r="E220" s="6" t="s">
        <v>535</v>
      </c>
      <c r="F220" s="7" t="s">
        <v>536</v>
      </c>
      <c r="G220" s="8" t="s">
        <v>537</v>
      </c>
    </row>
    <row r="221" spans="1:7" ht="18.75" customHeight="1" x14ac:dyDescent="0.25">
      <c r="A221" s="9">
        <v>139</v>
      </c>
      <c r="B221" s="3" t="s">
        <v>558</v>
      </c>
      <c r="C221" s="4" t="s">
        <v>5</v>
      </c>
      <c r="D221" s="5" t="s">
        <v>8</v>
      </c>
      <c r="E221" s="6" t="s">
        <v>8</v>
      </c>
      <c r="F221" s="7" t="s">
        <v>8</v>
      </c>
      <c r="G221" s="8" t="s">
        <v>493</v>
      </c>
    </row>
    <row r="222" spans="1:7" ht="18.75" customHeight="1" x14ac:dyDescent="0.25">
      <c r="A222" s="9">
        <v>357</v>
      </c>
      <c r="B222" s="3" t="s">
        <v>1356</v>
      </c>
      <c r="C222" s="4" t="s">
        <v>5</v>
      </c>
      <c r="D222" s="5"/>
      <c r="E222" s="6"/>
      <c r="F222" s="7"/>
      <c r="G222" s="8" t="s">
        <v>1331</v>
      </c>
    </row>
    <row r="223" spans="1:7" ht="18.75" customHeight="1" x14ac:dyDescent="0.25">
      <c r="A223" s="9">
        <v>290</v>
      </c>
      <c r="B223" s="3" t="s">
        <v>1148</v>
      </c>
      <c r="C223" s="4" t="s">
        <v>5</v>
      </c>
      <c r="D223" s="5" t="s">
        <v>1149</v>
      </c>
      <c r="E223" s="6" t="s">
        <v>1150</v>
      </c>
      <c r="F223" s="7" t="s">
        <v>1151</v>
      </c>
      <c r="G223" s="8" t="s">
        <v>1152</v>
      </c>
    </row>
    <row r="224" spans="1:7" ht="18.75" customHeight="1" x14ac:dyDescent="0.25">
      <c r="A224" s="9">
        <v>80</v>
      </c>
      <c r="B224" s="3" t="s">
        <v>341</v>
      </c>
      <c r="C224" s="4" t="s">
        <v>5</v>
      </c>
      <c r="D224" s="5" t="s">
        <v>342</v>
      </c>
      <c r="E224" s="6" t="s">
        <v>343</v>
      </c>
      <c r="F224" s="7" t="s">
        <v>344</v>
      </c>
      <c r="G224" s="8" t="s">
        <v>345</v>
      </c>
    </row>
    <row r="225" spans="1:7" ht="18.75" hidden="1" customHeight="1" x14ac:dyDescent="0.25">
      <c r="A225" s="9">
        <v>275</v>
      </c>
      <c r="B225" s="22" t="s">
        <v>1082</v>
      </c>
      <c r="C225" s="4" t="s">
        <v>5</v>
      </c>
      <c r="D225" s="5">
        <v>354</v>
      </c>
      <c r="E225" s="6">
        <v>648.33000000000004</v>
      </c>
      <c r="F225" s="7">
        <v>-294.33</v>
      </c>
      <c r="G225" s="8" t="s">
        <v>1083</v>
      </c>
    </row>
    <row r="226" spans="1:7" ht="18.75" hidden="1" customHeight="1" x14ac:dyDescent="0.25">
      <c r="A226" s="9">
        <v>8</v>
      </c>
      <c r="B226" s="22" t="s">
        <v>38</v>
      </c>
      <c r="C226" s="4" t="s">
        <v>5</v>
      </c>
      <c r="D226" s="5">
        <v>-41.4</v>
      </c>
      <c r="E226" s="6">
        <v>120.91</v>
      </c>
      <c r="F226" s="7">
        <v>-162.31</v>
      </c>
      <c r="G226" s="8" t="s">
        <v>39</v>
      </c>
    </row>
    <row r="227" spans="1:7" ht="18.75" customHeight="1" x14ac:dyDescent="0.25">
      <c r="A227" s="9">
        <v>6</v>
      </c>
      <c r="B227" s="3" t="s">
        <v>31</v>
      </c>
      <c r="C227" s="4" t="s">
        <v>5</v>
      </c>
      <c r="D227" s="5" t="s">
        <v>32</v>
      </c>
      <c r="E227" s="6" t="s">
        <v>33</v>
      </c>
      <c r="F227" s="7" t="s">
        <v>34</v>
      </c>
      <c r="G227" s="8" t="s">
        <v>35</v>
      </c>
    </row>
    <row r="228" spans="1:7" ht="18.75" customHeight="1" x14ac:dyDescent="0.25">
      <c r="A228" s="9">
        <v>120</v>
      </c>
      <c r="B228" s="3" t="s">
        <v>504</v>
      </c>
      <c r="C228" s="4" t="s">
        <v>5</v>
      </c>
      <c r="D228" s="5" t="s">
        <v>505</v>
      </c>
      <c r="E228" s="6" t="s">
        <v>505</v>
      </c>
      <c r="F228" s="7" t="s">
        <v>8</v>
      </c>
      <c r="G228" s="8" t="s">
        <v>493</v>
      </c>
    </row>
    <row r="229" spans="1:7" ht="18.75" customHeight="1" x14ac:dyDescent="0.25">
      <c r="A229" s="9">
        <v>190</v>
      </c>
      <c r="B229" s="3" t="s">
        <v>698</v>
      </c>
      <c r="C229" s="4" t="s">
        <v>5</v>
      </c>
      <c r="D229" s="5" t="s">
        <v>699</v>
      </c>
      <c r="E229" s="6" t="s">
        <v>700</v>
      </c>
      <c r="F229" s="7" t="s">
        <v>701</v>
      </c>
      <c r="G229" s="8" t="s">
        <v>702</v>
      </c>
    </row>
    <row r="230" spans="1:7" ht="18.75" customHeight="1" x14ac:dyDescent="0.25">
      <c r="A230" s="9">
        <v>259</v>
      </c>
      <c r="B230" s="3" t="s">
        <v>1008</v>
      </c>
      <c r="C230" s="4" t="s">
        <v>5</v>
      </c>
      <c r="D230" s="5" t="s">
        <v>1009</v>
      </c>
      <c r="E230" s="6" t="s">
        <v>1010</v>
      </c>
      <c r="F230" s="7" t="s">
        <v>1011</v>
      </c>
      <c r="G230" s="8" t="s">
        <v>37</v>
      </c>
    </row>
    <row r="231" spans="1:7" ht="18.75" customHeight="1" x14ac:dyDescent="0.25">
      <c r="A231" s="9">
        <v>30</v>
      </c>
      <c r="B231" s="3" t="s">
        <v>135</v>
      </c>
      <c r="C231" s="4" t="s">
        <v>5</v>
      </c>
      <c r="D231" s="5" t="s">
        <v>136</v>
      </c>
      <c r="E231" s="6" t="s">
        <v>137</v>
      </c>
      <c r="F231" s="7" t="s">
        <v>138</v>
      </c>
      <c r="G231" s="8" t="s">
        <v>139</v>
      </c>
    </row>
    <row r="232" spans="1:7" ht="18.75" customHeight="1" x14ac:dyDescent="0.25">
      <c r="A232" s="9">
        <v>330</v>
      </c>
      <c r="B232" s="3" t="s">
        <v>1321</v>
      </c>
      <c r="C232" s="4" t="s">
        <v>5</v>
      </c>
      <c r="D232" s="5" t="s">
        <v>1322</v>
      </c>
      <c r="E232" s="6" t="s">
        <v>1323</v>
      </c>
      <c r="F232" s="7" t="s">
        <v>1324</v>
      </c>
      <c r="G232" s="8" t="s">
        <v>1325</v>
      </c>
    </row>
    <row r="233" spans="1:7" ht="18.75" hidden="1" customHeight="1" x14ac:dyDescent="0.25">
      <c r="A233" s="9">
        <v>91</v>
      </c>
      <c r="B233" s="22" t="s">
        <v>390</v>
      </c>
      <c r="C233" s="4" t="s">
        <v>5</v>
      </c>
      <c r="D233" s="5">
        <v>353.6</v>
      </c>
      <c r="E233" s="6">
        <v>322.51</v>
      </c>
      <c r="F233" s="7">
        <v>31.09</v>
      </c>
      <c r="G233" s="8" t="s">
        <v>391</v>
      </c>
    </row>
    <row r="234" spans="1:7" ht="18.75" customHeight="1" x14ac:dyDescent="0.25">
      <c r="A234" s="9">
        <v>85</v>
      </c>
      <c r="B234" s="3" t="s">
        <v>362</v>
      </c>
      <c r="C234" s="4" t="s">
        <v>5</v>
      </c>
      <c r="D234" s="5" t="s">
        <v>363</v>
      </c>
      <c r="E234" s="6" t="s">
        <v>364</v>
      </c>
      <c r="F234" s="7" t="s">
        <v>365</v>
      </c>
      <c r="G234" s="8" t="s">
        <v>366</v>
      </c>
    </row>
    <row r="235" spans="1:7" ht="18.75" hidden="1" customHeight="1" x14ac:dyDescent="0.25">
      <c r="A235" s="9">
        <v>308</v>
      </c>
      <c r="B235" s="22" t="s">
        <v>1223</v>
      </c>
      <c r="C235" s="4" t="s">
        <v>5</v>
      </c>
      <c r="D235" s="5">
        <v>70.400000000000006</v>
      </c>
      <c r="E235" s="6">
        <v>231.7</v>
      </c>
      <c r="F235" s="7">
        <v>-161.30000000000001</v>
      </c>
      <c r="G235" s="8" t="s">
        <v>1224</v>
      </c>
    </row>
    <row r="236" spans="1:7" ht="18.75" customHeight="1" x14ac:dyDescent="0.25">
      <c r="A236" s="9">
        <v>79</v>
      </c>
      <c r="B236" s="3" t="s">
        <v>336</v>
      </c>
      <c r="C236" s="4" t="s">
        <v>5</v>
      </c>
      <c r="D236" s="5" t="s">
        <v>337</v>
      </c>
      <c r="E236" s="6" t="s">
        <v>338</v>
      </c>
      <c r="F236" s="7" t="s">
        <v>339</v>
      </c>
      <c r="G236" s="8" t="s">
        <v>340</v>
      </c>
    </row>
    <row r="237" spans="1:7" ht="18.75" customHeight="1" x14ac:dyDescent="0.25">
      <c r="A237" s="9">
        <v>236</v>
      </c>
      <c r="B237" s="3" t="s">
        <v>911</v>
      </c>
      <c r="C237" s="4" t="s">
        <v>5</v>
      </c>
      <c r="D237" s="5" t="s">
        <v>912</v>
      </c>
      <c r="E237" s="6" t="s">
        <v>913</v>
      </c>
      <c r="F237" s="7" t="s">
        <v>914</v>
      </c>
      <c r="G237" s="8" t="s">
        <v>915</v>
      </c>
    </row>
    <row r="238" spans="1:7" ht="18.75" customHeight="1" x14ac:dyDescent="0.25">
      <c r="A238" s="9">
        <v>110</v>
      </c>
      <c r="B238" s="3" t="s">
        <v>469</v>
      </c>
      <c r="C238" s="4" t="s">
        <v>5</v>
      </c>
      <c r="D238" s="5" t="s">
        <v>470</v>
      </c>
      <c r="E238" s="6" t="s">
        <v>471</v>
      </c>
      <c r="F238" s="7" t="s">
        <v>472</v>
      </c>
      <c r="G238" s="8" t="s">
        <v>473</v>
      </c>
    </row>
    <row r="239" spans="1:7" ht="18.75" hidden="1" customHeight="1" x14ac:dyDescent="0.25">
      <c r="A239" s="9">
        <v>256</v>
      </c>
      <c r="B239" s="22" t="s">
        <v>994</v>
      </c>
      <c r="C239" s="4" t="s">
        <v>5</v>
      </c>
      <c r="D239" s="5" t="s">
        <v>995</v>
      </c>
      <c r="E239" s="6" t="s">
        <v>996</v>
      </c>
      <c r="F239" s="7" t="s">
        <v>997</v>
      </c>
      <c r="G239" s="8" t="s">
        <v>998</v>
      </c>
    </row>
    <row r="240" spans="1:7" ht="18.75" customHeight="1" x14ac:dyDescent="0.25">
      <c r="A240" s="9">
        <v>315</v>
      </c>
      <c r="B240" s="3" t="s">
        <v>1252</v>
      </c>
      <c r="C240" s="4" t="s">
        <v>5</v>
      </c>
      <c r="D240" s="5" t="s">
        <v>1253</v>
      </c>
      <c r="E240" s="6" t="s">
        <v>1254</v>
      </c>
      <c r="F240" s="7" t="s">
        <v>1255</v>
      </c>
      <c r="G240" s="8" t="s">
        <v>1256</v>
      </c>
    </row>
    <row r="241" spans="1:7" ht="18.75" customHeight="1" x14ac:dyDescent="0.25">
      <c r="A241" s="9">
        <v>219</v>
      </c>
      <c r="B241" s="3" t="s">
        <v>830</v>
      </c>
      <c r="C241" s="4" t="s">
        <v>5</v>
      </c>
      <c r="D241" s="5" t="s">
        <v>831</v>
      </c>
      <c r="E241" s="6" t="s">
        <v>832</v>
      </c>
      <c r="F241" s="7" t="s">
        <v>833</v>
      </c>
      <c r="G241" s="8" t="s">
        <v>834</v>
      </c>
    </row>
    <row r="242" spans="1:7" ht="18.75" customHeight="1" x14ac:dyDescent="0.25">
      <c r="A242" s="9">
        <v>320</v>
      </c>
      <c r="B242" s="3" t="s">
        <v>1277</v>
      </c>
      <c r="C242" s="4" t="s">
        <v>5</v>
      </c>
      <c r="D242" s="5" t="s">
        <v>1278</v>
      </c>
      <c r="E242" s="6" t="s">
        <v>1279</v>
      </c>
      <c r="F242" s="7" t="s">
        <v>1280</v>
      </c>
      <c r="G242" s="8" t="s">
        <v>407</v>
      </c>
    </row>
    <row r="243" spans="1:7" ht="18.75" customHeight="1" x14ac:dyDescent="0.25">
      <c r="A243" s="9">
        <v>327</v>
      </c>
      <c r="B243" s="3" t="s">
        <v>1310</v>
      </c>
      <c r="C243" s="4" t="s">
        <v>5</v>
      </c>
      <c r="D243" s="5">
        <v>8.8000000000000007</v>
      </c>
      <c r="E243" s="6">
        <v>243.87</v>
      </c>
      <c r="F243" s="7">
        <v>-235.07</v>
      </c>
      <c r="G243" s="8" t="s">
        <v>1311</v>
      </c>
    </row>
    <row r="244" spans="1:7" ht="18.75" customHeight="1" x14ac:dyDescent="0.25">
      <c r="A244" s="9">
        <v>72</v>
      </c>
      <c r="B244" s="3" t="s">
        <v>302</v>
      </c>
      <c r="C244" s="4" t="s">
        <v>5</v>
      </c>
      <c r="D244" s="5" t="s">
        <v>303</v>
      </c>
      <c r="E244" s="6" t="s">
        <v>304</v>
      </c>
      <c r="F244" s="7" t="s">
        <v>305</v>
      </c>
      <c r="G244" s="8" t="s">
        <v>306</v>
      </c>
    </row>
    <row r="245" spans="1:7" ht="18.75" hidden="1" customHeight="1" x14ac:dyDescent="0.25">
      <c r="A245" s="9">
        <v>50</v>
      </c>
      <c r="B245" s="22" t="s">
        <v>214</v>
      </c>
      <c r="C245" s="4" t="s">
        <v>5</v>
      </c>
      <c r="D245" s="5">
        <v>274</v>
      </c>
      <c r="E245" s="6">
        <v>195.97</v>
      </c>
      <c r="F245" s="7">
        <v>78.03</v>
      </c>
      <c r="G245" s="8" t="s">
        <v>215</v>
      </c>
    </row>
    <row r="246" spans="1:7" ht="18.75" customHeight="1" x14ac:dyDescent="0.25">
      <c r="A246" s="9">
        <v>33</v>
      </c>
      <c r="B246" s="3" t="s">
        <v>150</v>
      </c>
      <c r="C246" s="4" t="s">
        <v>5</v>
      </c>
      <c r="D246" s="5">
        <v>424.8</v>
      </c>
      <c r="E246" s="6">
        <v>209.23</v>
      </c>
      <c r="F246" s="7">
        <v>215.57</v>
      </c>
      <c r="G246" s="8" t="s">
        <v>151</v>
      </c>
    </row>
    <row r="247" spans="1:7" ht="18.75" customHeight="1" x14ac:dyDescent="0.25">
      <c r="A247" s="9">
        <v>195</v>
      </c>
      <c r="B247" s="3" t="s">
        <v>719</v>
      </c>
      <c r="C247" s="4" t="s">
        <v>5</v>
      </c>
      <c r="D247" s="5" t="s">
        <v>720</v>
      </c>
      <c r="E247" s="6" t="s">
        <v>721</v>
      </c>
      <c r="F247" s="7" t="s">
        <v>722</v>
      </c>
      <c r="G247" s="8" t="s">
        <v>723</v>
      </c>
    </row>
    <row r="248" spans="1:7" ht="18.75" customHeight="1" x14ac:dyDescent="0.25">
      <c r="A248" s="9">
        <v>273</v>
      </c>
      <c r="B248" s="3" t="s">
        <v>1072</v>
      </c>
      <c r="C248" s="4" t="s">
        <v>5</v>
      </c>
      <c r="D248" s="5" t="s">
        <v>1073</v>
      </c>
      <c r="E248" s="6" t="s">
        <v>1074</v>
      </c>
      <c r="F248" s="7" t="s">
        <v>1075</v>
      </c>
      <c r="G248" s="8" t="s">
        <v>1076</v>
      </c>
    </row>
    <row r="249" spans="1:7" ht="18.75" customHeight="1" x14ac:dyDescent="0.25">
      <c r="A249" s="9">
        <v>356</v>
      </c>
      <c r="B249" s="3" t="s">
        <v>1355</v>
      </c>
      <c r="C249" s="4" t="s">
        <v>5</v>
      </c>
      <c r="D249" s="5"/>
      <c r="E249" s="6"/>
      <c r="F249" s="7"/>
      <c r="G249" s="8" t="s">
        <v>1331</v>
      </c>
    </row>
    <row r="250" spans="1:7" ht="18.75" customHeight="1" x14ac:dyDescent="0.25">
      <c r="A250" s="9">
        <v>302</v>
      </c>
      <c r="B250" s="3" t="s">
        <v>1197</v>
      </c>
      <c r="C250" s="4" t="s">
        <v>5</v>
      </c>
      <c r="D250" s="5" t="s">
        <v>1198</v>
      </c>
      <c r="E250" s="6" t="s">
        <v>1199</v>
      </c>
      <c r="F250" s="7" t="s">
        <v>1200</v>
      </c>
      <c r="G250" s="8" t="s">
        <v>1201</v>
      </c>
    </row>
    <row r="251" spans="1:7" ht="18.75" customHeight="1" x14ac:dyDescent="0.25">
      <c r="A251" s="9">
        <v>323</v>
      </c>
      <c r="B251" s="3" t="s">
        <v>1290</v>
      </c>
      <c r="C251" s="4" t="s">
        <v>5</v>
      </c>
      <c r="D251" s="5" t="s">
        <v>1291</v>
      </c>
      <c r="E251" s="6" t="s">
        <v>1292</v>
      </c>
      <c r="F251" s="7" t="s">
        <v>1293</v>
      </c>
      <c r="G251" s="8" t="s">
        <v>1294</v>
      </c>
    </row>
    <row r="252" spans="1:7" ht="18.75" customHeight="1" x14ac:dyDescent="0.25">
      <c r="A252" s="9">
        <v>3</v>
      </c>
      <c r="B252" s="3" t="s">
        <v>16</v>
      </c>
      <c r="C252" s="4" t="s">
        <v>5</v>
      </c>
      <c r="D252" s="5" t="s">
        <v>17</v>
      </c>
      <c r="E252" s="6" t="s">
        <v>18</v>
      </c>
      <c r="F252" s="7" t="s">
        <v>19</v>
      </c>
      <c r="G252" s="8" t="s">
        <v>20</v>
      </c>
    </row>
    <row r="253" spans="1:7" ht="18.75" customHeight="1" x14ac:dyDescent="0.25">
      <c r="A253" s="9">
        <v>211</v>
      </c>
      <c r="B253" s="3" t="s">
        <v>790</v>
      </c>
      <c r="C253" s="4" t="s">
        <v>5</v>
      </c>
      <c r="D253" s="5" t="s">
        <v>791</v>
      </c>
      <c r="E253" s="6" t="s">
        <v>792</v>
      </c>
      <c r="F253" s="7" t="s">
        <v>793</v>
      </c>
      <c r="G253" s="8" t="s">
        <v>794</v>
      </c>
    </row>
    <row r="254" spans="1:7" ht="18.75" customHeight="1" x14ac:dyDescent="0.25">
      <c r="A254" s="9">
        <v>125</v>
      </c>
      <c r="B254" s="3" t="s">
        <v>520</v>
      </c>
      <c r="C254" s="4" t="s">
        <v>5</v>
      </c>
      <c r="D254" s="5" t="s">
        <v>8</v>
      </c>
      <c r="E254" s="6" t="s">
        <v>8</v>
      </c>
      <c r="F254" s="7" t="s">
        <v>8</v>
      </c>
      <c r="G254" s="8" t="s">
        <v>493</v>
      </c>
    </row>
    <row r="255" spans="1:7" ht="18.75" customHeight="1" x14ac:dyDescent="0.25">
      <c r="A255" s="9">
        <v>128</v>
      </c>
      <c r="B255" s="3" t="s">
        <v>525</v>
      </c>
      <c r="C255" s="4" t="s">
        <v>5</v>
      </c>
      <c r="D255" s="5" t="s">
        <v>526</v>
      </c>
      <c r="E255" s="6" t="s">
        <v>526</v>
      </c>
      <c r="F255" s="7" t="s">
        <v>8</v>
      </c>
      <c r="G255" s="8" t="s">
        <v>493</v>
      </c>
    </row>
    <row r="256" spans="1:7" ht="18.75" customHeight="1" x14ac:dyDescent="0.25">
      <c r="A256" s="9">
        <v>187</v>
      </c>
      <c r="B256" s="3" t="s">
        <v>683</v>
      </c>
      <c r="C256" s="4" t="s">
        <v>5</v>
      </c>
      <c r="D256" s="5" t="s">
        <v>684</v>
      </c>
      <c r="E256" s="6" t="s">
        <v>685</v>
      </c>
      <c r="F256" s="7" t="s">
        <v>686</v>
      </c>
      <c r="G256" s="8" t="s">
        <v>687</v>
      </c>
    </row>
    <row r="257" spans="1:7" ht="18.75" customHeight="1" x14ac:dyDescent="0.25">
      <c r="A257" s="9">
        <v>68</v>
      </c>
      <c r="B257" s="3" t="s">
        <v>285</v>
      </c>
      <c r="C257" s="4" t="s">
        <v>5</v>
      </c>
      <c r="D257" s="5" t="s">
        <v>286</v>
      </c>
      <c r="E257" s="6" t="s">
        <v>287</v>
      </c>
      <c r="F257" s="7" t="s">
        <v>288</v>
      </c>
      <c r="G257" s="8" t="s">
        <v>289</v>
      </c>
    </row>
    <row r="258" spans="1:7" ht="18.75" customHeight="1" x14ac:dyDescent="0.25">
      <c r="A258" s="9">
        <v>206</v>
      </c>
      <c r="B258" s="3" t="s">
        <v>766</v>
      </c>
      <c r="C258" s="4" t="s">
        <v>5</v>
      </c>
      <c r="D258" s="5" t="s">
        <v>767</v>
      </c>
      <c r="E258" s="6" t="s">
        <v>768</v>
      </c>
      <c r="F258" s="7" t="s">
        <v>769</v>
      </c>
      <c r="G258" s="8" t="s">
        <v>770</v>
      </c>
    </row>
    <row r="259" spans="1:7" ht="18.75" hidden="1" customHeight="1" x14ac:dyDescent="0.25">
      <c r="A259" s="9">
        <v>319</v>
      </c>
      <c r="B259" s="22" t="s">
        <v>1272</v>
      </c>
      <c r="C259" s="4" t="s">
        <v>5</v>
      </c>
      <c r="D259" s="5" t="s">
        <v>1273</v>
      </c>
      <c r="E259" s="6" t="s">
        <v>1274</v>
      </c>
      <c r="F259" s="7" t="s">
        <v>1275</v>
      </c>
      <c r="G259" s="8" t="s">
        <v>1276</v>
      </c>
    </row>
    <row r="260" spans="1:7" ht="18.75" customHeight="1" x14ac:dyDescent="0.25">
      <c r="A260" s="9">
        <v>230</v>
      </c>
      <c r="B260" s="3" t="s">
        <v>881</v>
      </c>
      <c r="C260" s="4" t="s">
        <v>5</v>
      </c>
      <c r="D260" s="5" t="s">
        <v>882</v>
      </c>
      <c r="E260" s="6" t="s">
        <v>883</v>
      </c>
      <c r="F260" s="7" t="s">
        <v>884</v>
      </c>
      <c r="G260" s="8" t="s">
        <v>885</v>
      </c>
    </row>
    <row r="261" spans="1:7" ht="18.75" customHeight="1" x14ac:dyDescent="0.25">
      <c r="A261" s="9">
        <v>87</v>
      </c>
      <c r="B261" s="3" t="s">
        <v>372</v>
      </c>
      <c r="C261" s="4" t="s">
        <v>5</v>
      </c>
      <c r="D261" s="5" t="s">
        <v>373</v>
      </c>
      <c r="E261" s="6" t="s">
        <v>374</v>
      </c>
      <c r="F261" s="7" t="s">
        <v>375</v>
      </c>
      <c r="G261" s="8" t="s">
        <v>376</v>
      </c>
    </row>
    <row r="262" spans="1:7" ht="18.75" customHeight="1" x14ac:dyDescent="0.25">
      <c r="A262" s="9">
        <v>317</v>
      </c>
      <c r="B262" s="3" t="s">
        <v>1262</v>
      </c>
      <c r="C262" s="4" t="s">
        <v>5</v>
      </c>
      <c r="D262" s="5" t="s">
        <v>1263</v>
      </c>
      <c r="E262" s="6" t="s">
        <v>1264</v>
      </c>
      <c r="F262" s="7" t="s">
        <v>1265</v>
      </c>
      <c r="G262" s="8" t="s">
        <v>1266</v>
      </c>
    </row>
    <row r="263" spans="1:7" ht="18.75" hidden="1" customHeight="1" x14ac:dyDescent="0.25">
      <c r="A263" s="9">
        <v>62</v>
      </c>
      <c r="B263" s="22" t="s">
        <v>264</v>
      </c>
      <c r="C263" s="4" t="s">
        <v>5</v>
      </c>
      <c r="D263" s="5">
        <v>237.6</v>
      </c>
      <c r="E263" s="6">
        <v>186</v>
      </c>
      <c r="F263" s="7">
        <v>51.6</v>
      </c>
      <c r="G263" s="8" t="s">
        <v>265</v>
      </c>
    </row>
    <row r="264" spans="1:7" ht="18.75" customHeight="1" x14ac:dyDescent="0.25">
      <c r="A264" s="9">
        <v>237</v>
      </c>
      <c r="B264" s="3" t="s">
        <v>916</v>
      </c>
      <c r="C264" s="4" t="s">
        <v>5</v>
      </c>
      <c r="D264" s="5" t="s">
        <v>917</v>
      </c>
      <c r="E264" s="6" t="s">
        <v>918</v>
      </c>
      <c r="F264" s="7" t="s">
        <v>919</v>
      </c>
      <c r="G264" s="8" t="s">
        <v>920</v>
      </c>
    </row>
    <row r="265" spans="1:7" ht="18.75" customHeight="1" x14ac:dyDescent="0.25">
      <c r="A265" s="9">
        <v>240</v>
      </c>
      <c r="B265" s="3" t="s">
        <v>930</v>
      </c>
      <c r="C265" s="4" t="s">
        <v>5</v>
      </c>
      <c r="D265" s="5" t="s">
        <v>931</v>
      </c>
      <c r="E265" s="6" t="s">
        <v>932</v>
      </c>
      <c r="F265" s="7" t="s">
        <v>933</v>
      </c>
      <c r="G265" s="8" t="s">
        <v>934</v>
      </c>
    </row>
    <row r="266" spans="1:7" ht="18.75" customHeight="1" x14ac:dyDescent="0.25">
      <c r="A266" s="9">
        <v>301</v>
      </c>
      <c r="B266" s="3" t="s">
        <v>1192</v>
      </c>
      <c r="C266" s="4" t="s">
        <v>5</v>
      </c>
      <c r="D266" s="5" t="s">
        <v>1193</v>
      </c>
      <c r="E266" s="6" t="s">
        <v>1194</v>
      </c>
      <c r="F266" s="7" t="s">
        <v>1195</v>
      </c>
      <c r="G266" s="8" t="s">
        <v>1196</v>
      </c>
    </row>
    <row r="267" spans="1:7" ht="18.75" customHeight="1" x14ac:dyDescent="0.25">
      <c r="A267" s="9">
        <v>75</v>
      </c>
      <c r="B267" s="3" t="s">
        <v>316</v>
      </c>
      <c r="C267" s="4" t="s">
        <v>5</v>
      </c>
      <c r="D267" s="5" t="s">
        <v>317</v>
      </c>
      <c r="E267" s="6" t="s">
        <v>318</v>
      </c>
      <c r="F267" s="7" t="s">
        <v>319</v>
      </c>
      <c r="G267" s="8" t="s">
        <v>320</v>
      </c>
    </row>
    <row r="268" spans="1:7" ht="18.75" hidden="1" customHeight="1" x14ac:dyDescent="0.25">
      <c r="A268" s="9">
        <v>202</v>
      </c>
      <c r="B268" s="22" t="s">
        <v>750</v>
      </c>
      <c r="C268" s="4" t="s">
        <v>5</v>
      </c>
      <c r="D268" s="5">
        <v>304.39999999999998</v>
      </c>
      <c r="E268" s="6">
        <v>344.48</v>
      </c>
      <c r="F268" s="7">
        <v>-40.08</v>
      </c>
      <c r="G268" s="8" t="s">
        <v>751</v>
      </c>
    </row>
    <row r="269" spans="1:7" ht="18.75" customHeight="1" x14ac:dyDescent="0.25">
      <c r="A269" s="9">
        <v>242</v>
      </c>
      <c r="B269" s="3" t="s">
        <v>937</v>
      </c>
      <c r="C269" s="4" t="s">
        <v>5</v>
      </c>
      <c r="D269" s="5" t="s">
        <v>938</v>
      </c>
      <c r="E269" s="6" t="s">
        <v>939</v>
      </c>
      <c r="F269" s="7" t="s">
        <v>940</v>
      </c>
      <c r="G269" s="8" t="s">
        <v>941</v>
      </c>
    </row>
    <row r="270" spans="1:7" ht="18.75" customHeight="1" x14ac:dyDescent="0.25">
      <c r="A270" s="9">
        <v>124</v>
      </c>
      <c r="B270" s="3" t="s">
        <v>516</v>
      </c>
      <c r="C270" s="4" t="s">
        <v>5</v>
      </c>
      <c r="D270" s="5" t="s">
        <v>8</v>
      </c>
      <c r="E270" s="6" t="s">
        <v>517</v>
      </c>
      <c r="F270" s="7" t="s">
        <v>518</v>
      </c>
      <c r="G270" s="8" t="s">
        <v>519</v>
      </c>
    </row>
    <row r="271" spans="1:7" ht="18.75" customHeight="1" x14ac:dyDescent="0.25">
      <c r="A271" s="9">
        <v>183</v>
      </c>
      <c r="B271" s="3" t="s">
        <v>666</v>
      </c>
      <c r="C271" s="4" t="s">
        <v>5</v>
      </c>
      <c r="D271" s="5" t="s">
        <v>667</v>
      </c>
      <c r="E271" s="6" t="s">
        <v>668</v>
      </c>
      <c r="F271" s="7" t="s">
        <v>669</v>
      </c>
      <c r="G271" s="8" t="s">
        <v>670</v>
      </c>
    </row>
    <row r="272" spans="1:7" ht="18.75" customHeight="1" x14ac:dyDescent="0.25">
      <c r="A272" s="9">
        <v>270</v>
      </c>
      <c r="B272" s="3" t="s">
        <v>1057</v>
      </c>
      <c r="C272" s="4" t="s">
        <v>5</v>
      </c>
      <c r="D272" s="5" t="s">
        <v>1058</v>
      </c>
      <c r="E272" s="6" t="s">
        <v>1059</v>
      </c>
      <c r="F272" s="7" t="s">
        <v>1060</v>
      </c>
      <c r="G272" s="8" t="s">
        <v>1061</v>
      </c>
    </row>
    <row r="273" spans="1:7" ht="18.75" customHeight="1" x14ac:dyDescent="0.25">
      <c r="A273" s="9">
        <v>281</v>
      </c>
      <c r="B273" s="3" t="s">
        <v>1105</v>
      </c>
      <c r="C273" s="4" t="s">
        <v>5</v>
      </c>
      <c r="D273" s="5" t="s">
        <v>1106</v>
      </c>
      <c r="E273" s="6" t="s">
        <v>1107</v>
      </c>
      <c r="F273" s="7" t="s">
        <v>1108</v>
      </c>
      <c r="G273" s="8" t="s">
        <v>80</v>
      </c>
    </row>
    <row r="274" spans="1:7" ht="18.75" customHeight="1" x14ac:dyDescent="0.25">
      <c r="A274" s="9">
        <v>19</v>
      </c>
      <c r="B274" s="3" t="s">
        <v>81</v>
      </c>
      <c r="C274" s="4" t="s">
        <v>5</v>
      </c>
      <c r="D274" s="5" t="s">
        <v>82</v>
      </c>
      <c r="E274" s="6" t="s">
        <v>83</v>
      </c>
      <c r="F274" s="7" t="s">
        <v>84</v>
      </c>
      <c r="G274" s="8" t="s">
        <v>85</v>
      </c>
    </row>
    <row r="275" spans="1:7" ht="18.75" customHeight="1" x14ac:dyDescent="0.25">
      <c r="A275" s="9">
        <v>312</v>
      </c>
      <c r="B275" s="3" t="s">
        <v>1240</v>
      </c>
      <c r="C275" s="4" t="s">
        <v>5</v>
      </c>
      <c r="D275" s="5" t="s">
        <v>1241</v>
      </c>
      <c r="E275" s="6" t="s">
        <v>1242</v>
      </c>
      <c r="F275" s="7" t="s">
        <v>1243</v>
      </c>
      <c r="G275" s="8" t="s">
        <v>1244</v>
      </c>
    </row>
    <row r="276" spans="1:7" ht="18.75" customHeight="1" x14ac:dyDescent="0.25">
      <c r="A276" s="9">
        <v>333</v>
      </c>
      <c r="B276" s="3" t="s">
        <v>1332</v>
      </c>
      <c r="C276" s="4" t="s">
        <v>5</v>
      </c>
      <c r="D276" s="5"/>
      <c r="E276" s="6"/>
      <c r="F276" s="7"/>
      <c r="G276" s="8" t="s">
        <v>1331</v>
      </c>
    </row>
    <row r="277" spans="1:7" ht="18.75" hidden="1" customHeight="1" x14ac:dyDescent="0.25">
      <c r="A277" s="9">
        <v>15</v>
      </c>
      <c r="B277" s="22" t="s">
        <v>67</v>
      </c>
      <c r="C277" s="4" t="s">
        <v>5</v>
      </c>
      <c r="D277" s="5">
        <v>155.5</v>
      </c>
      <c r="E277" s="6">
        <v>1.5</v>
      </c>
      <c r="F277" s="7">
        <v>154</v>
      </c>
      <c r="G277" s="8" t="s">
        <v>68</v>
      </c>
    </row>
    <row r="278" spans="1:7" ht="18.75" customHeight="1" x14ac:dyDescent="0.25">
      <c r="A278" s="9">
        <v>169</v>
      </c>
      <c r="B278" s="3" t="s">
        <v>631</v>
      </c>
      <c r="C278" s="4" t="s">
        <v>5</v>
      </c>
      <c r="D278" s="5" t="s">
        <v>8</v>
      </c>
      <c r="E278" s="6" t="s">
        <v>632</v>
      </c>
      <c r="F278" s="7" t="s">
        <v>633</v>
      </c>
      <c r="G278" s="8" t="s">
        <v>493</v>
      </c>
    </row>
    <row r="279" spans="1:7" ht="18.75" customHeight="1" x14ac:dyDescent="0.25">
      <c r="A279" s="9">
        <v>126</v>
      </c>
      <c r="B279" s="3" t="s">
        <v>521</v>
      </c>
      <c r="C279" s="4" t="s">
        <v>5</v>
      </c>
      <c r="D279" s="5" t="s">
        <v>522</v>
      </c>
      <c r="E279" s="6" t="s">
        <v>522</v>
      </c>
      <c r="F279" s="7" t="s">
        <v>8</v>
      </c>
      <c r="G279" s="8" t="s">
        <v>493</v>
      </c>
    </row>
    <row r="280" spans="1:7" ht="18.75" customHeight="1" x14ac:dyDescent="0.25">
      <c r="A280" s="9">
        <v>335</v>
      </c>
      <c r="B280" s="3" t="s">
        <v>1334</v>
      </c>
      <c r="C280" s="4" t="s">
        <v>5</v>
      </c>
      <c r="D280" s="5"/>
      <c r="E280" s="6"/>
      <c r="F280" s="7"/>
      <c r="G280" s="8" t="s">
        <v>1331</v>
      </c>
    </row>
    <row r="281" spans="1:7" ht="18.75" customHeight="1" x14ac:dyDescent="0.25">
      <c r="A281" s="9">
        <v>336</v>
      </c>
      <c r="B281" s="3" t="s">
        <v>1335</v>
      </c>
      <c r="C281" s="4" t="s">
        <v>5</v>
      </c>
      <c r="D281" s="5"/>
      <c r="E281" s="6"/>
      <c r="F281" s="7"/>
      <c r="G281" s="8" t="s">
        <v>1331</v>
      </c>
    </row>
    <row r="282" spans="1:7" ht="18.75" customHeight="1" x14ac:dyDescent="0.25">
      <c r="A282" s="9">
        <v>142</v>
      </c>
      <c r="B282" s="3" t="s">
        <v>567</v>
      </c>
      <c r="C282" s="4" t="s">
        <v>5</v>
      </c>
      <c r="D282" s="5" t="s">
        <v>568</v>
      </c>
      <c r="E282" s="6" t="s">
        <v>568</v>
      </c>
      <c r="F282" s="7" t="s">
        <v>8</v>
      </c>
      <c r="G282" s="8" t="s">
        <v>493</v>
      </c>
    </row>
    <row r="283" spans="1:7" ht="18.75" customHeight="1" x14ac:dyDescent="0.25">
      <c r="A283" s="9">
        <v>150</v>
      </c>
      <c r="B283" s="3" t="s">
        <v>583</v>
      </c>
      <c r="C283" s="4" t="s">
        <v>5</v>
      </c>
      <c r="D283" s="5" t="s">
        <v>584</v>
      </c>
      <c r="E283" s="6" t="s">
        <v>584</v>
      </c>
      <c r="F283" s="7" t="s">
        <v>8</v>
      </c>
      <c r="G283" s="8" t="s">
        <v>493</v>
      </c>
    </row>
    <row r="284" spans="1:7" ht="18.75" customHeight="1" x14ac:dyDescent="0.25">
      <c r="A284" s="9">
        <v>337</v>
      </c>
      <c r="B284" s="3" t="s">
        <v>1336</v>
      </c>
      <c r="C284" s="4" t="s">
        <v>5</v>
      </c>
      <c r="D284" s="5"/>
      <c r="E284" s="6"/>
      <c r="F284" s="7"/>
      <c r="G284" s="8" t="s">
        <v>1331</v>
      </c>
    </row>
    <row r="285" spans="1:7" ht="18.75" customHeight="1" x14ac:dyDescent="0.25">
      <c r="A285" s="9">
        <v>161</v>
      </c>
      <c r="B285" s="3" t="s">
        <v>615</v>
      </c>
      <c r="C285" s="4" t="s">
        <v>5</v>
      </c>
      <c r="D285" s="5" t="s">
        <v>616</v>
      </c>
      <c r="E285" s="6" t="s">
        <v>616</v>
      </c>
      <c r="F285" s="7" t="s">
        <v>8</v>
      </c>
      <c r="G285" s="8" t="s">
        <v>493</v>
      </c>
    </row>
    <row r="286" spans="1:7" ht="18.75" customHeight="1" x14ac:dyDescent="0.25">
      <c r="A286" s="9">
        <v>166</v>
      </c>
      <c r="B286" s="3" t="s">
        <v>625</v>
      </c>
      <c r="C286" s="4" t="s">
        <v>5</v>
      </c>
      <c r="D286" s="5" t="s">
        <v>626</v>
      </c>
      <c r="E286" s="6" t="s">
        <v>626</v>
      </c>
      <c r="F286" s="7" t="s">
        <v>8</v>
      </c>
      <c r="G286" s="8" t="s">
        <v>493</v>
      </c>
    </row>
    <row r="287" spans="1:7" ht="18.75" customHeight="1" x14ac:dyDescent="0.25">
      <c r="A287" s="9">
        <v>350</v>
      </c>
      <c r="B287" s="3" t="s">
        <v>1349</v>
      </c>
      <c r="C287" s="4" t="s">
        <v>5</v>
      </c>
      <c r="D287" s="5"/>
      <c r="E287" s="6"/>
      <c r="F287" s="7"/>
      <c r="G287" s="8" t="s">
        <v>1331</v>
      </c>
    </row>
    <row r="288" spans="1:7" ht="18.75" customHeight="1" x14ac:dyDescent="0.25">
      <c r="A288" s="9">
        <v>339</v>
      </c>
      <c r="B288" s="3" t="s">
        <v>1338</v>
      </c>
      <c r="C288" s="4" t="s">
        <v>5</v>
      </c>
      <c r="D288" s="5"/>
      <c r="E288" s="6"/>
      <c r="F288" s="7"/>
      <c r="G288" s="8" t="s">
        <v>1331</v>
      </c>
    </row>
    <row r="289" spans="1:7" ht="18.75" customHeight="1" x14ac:dyDescent="0.25">
      <c r="A289" s="9">
        <v>347</v>
      </c>
      <c r="B289" s="3" t="s">
        <v>1346</v>
      </c>
      <c r="C289" s="4" t="s">
        <v>5</v>
      </c>
      <c r="D289" s="5"/>
      <c r="E289" s="6"/>
      <c r="F289" s="7"/>
      <c r="G289" s="8" t="s">
        <v>1331</v>
      </c>
    </row>
    <row r="290" spans="1:7" ht="18.75" customHeight="1" x14ac:dyDescent="0.25">
      <c r="A290" s="9">
        <v>144</v>
      </c>
      <c r="B290" s="3" t="s">
        <v>570</v>
      </c>
      <c r="C290" s="4" t="s">
        <v>5</v>
      </c>
      <c r="D290" s="5" t="s">
        <v>571</v>
      </c>
      <c r="E290" s="6" t="s">
        <v>571</v>
      </c>
      <c r="F290" s="7" t="s">
        <v>8</v>
      </c>
      <c r="G290" s="8" t="s">
        <v>493</v>
      </c>
    </row>
    <row r="291" spans="1:7" ht="18.75" customHeight="1" x14ac:dyDescent="0.25">
      <c r="A291" s="9">
        <v>129</v>
      </c>
      <c r="B291" s="3" t="s">
        <v>527</v>
      </c>
      <c r="C291" s="4" t="s">
        <v>5</v>
      </c>
      <c r="D291" s="5" t="s">
        <v>528</v>
      </c>
      <c r="E291" s="6" t="s">
        <v>528</v>
      </c>
      <c r="F291" s="7" t="s">
        <v>8</v>
      </c>
      <c r="G291" s="8" t="s">
        <v>493</v>
      </c>
    </row>
    <row r="292" spans="1:7" ht="18.75" customHeight="1" x14ac:dyDescent="0.25">
      <c r="A292" s="9">
        <v>145</v>
      </c>
      <c r="B292" s="3" t="s">
        <v>572</v>
      </c>
      <c r="C292" s="4" t="s">
        <v>5</v>
      </c>
      <c r="D292" s="5" t="s">
        <v>573</v>
      </c>
      <c r="E292" s="6" t="s">
        <v>573</v>
      </c>
      <c r="F292" s="7" t="s">
        <v>8</v>
      </c>
      <c r="G292" s="8" t="s">
        <v>493</v>
      </c>
    </row>
    <row r="293" spans="1:7" ht="18.75" customHeight="1" x14ac:dyDescent="0.25">
      <c r="A293" s="9">
        <v>334</v>
      </c>
      <c r="B293" s="3" t="s">
        <v>1333</v>
      </c>
      <c r="C293" s="4" t="s">
        <v>5</v>
      </c>
      <c r="D293" s="5"/>
      <c r="E293" s="6"/>
      <c r="F293" s="7"/>
      <c r="G293" s="8" t="s">
        <v>1331</v>
      </c>
    </row>
    <row r="294" spans="1:7" ht="18.75" customHeight="1" x14ac:dyDescent="0.25">
      <c r="A294" s="9">
        <v>146</v>
      </c>
      <c r="B294" s="3" t="s">
        <v>574</v>
      </c>
      <c r="C294" s="4" t="s">
        <v>5</v>
      </c>
      <c r="D294" s="5" t="s">
        <v>575</v>
      </c>
      <c r="E294" s="6" t="s">
        <v>575</v>
      </c>
      <c r="F294" s="7" t="s">
        <v>8</v>
      </c>
      <c r="G294" s="8" t="s">
        <v>493</v>
      </c>
    </row>
    <row r="295" spans="1:7" ht="18.75" customHeight="1" x14ac:dyDescent="0.25">
      <c r="A295" s="9">
        <v>348</v>
      </c>
      <c r="B295" s="3" t="s">
        <v>1347</v>
      </c>
      <c r="C295" s="4" t="s">
        <v>5</v>
      </c>
      <c r="D295" s="5"/>
      <c r="E295" s="6"/>
      <c r="F295" s="7"/>
      <c r="G295" s="8" t="s">
        <v>1331</v>
      </c>
    </row>
    <row r="296" spans="1:7" ht="18.75" customHeight="1" x14ac:dyDescent="0.25">
      <c r="A296" s="9">
        <v>130</v>
      </c>
      <c r="B296" s="3" t="s">
        <v>529</v>
      </c>
      <c r="C296" s="4" t="s">
        <v>5</v>
      </c>
      <c r="D296" s="5" t="s">
        <v>530</v>
      </c>
      <c r="E296" s="6" t="s">
        <v>530</v>
      </c>
      <c r="F296" s="7" t="s">
        <v>8</v>
      </c>
      <c r="G296" s="8" t="s">
        <v>493</v>
      </c>
    </row>
    <row r="297" spans="1:7" ht="18.75" customHeight="1" x14ac:dyDescent="0.25">
      <c r="A297" s="9">
        <v>340</v>
      </c>
      <c r="B297" s="3" t="s">
        <v>1339</v>
      </c>
      <c r="C297" s="4" t="s">
        <v>5</v>
      </c>
      <c r="D297" s="5"/>
      <c r="E297" s="6"/>
      <c r="F297" s="7"/>
      <c r="G297" s="8" t="s">
        <v>1331</v>
      </c>
    </row>
    <row r="298" spans="1:7" ht="18.75" customHeight="1" x14ac:dyDescent="0.25">
      <c r="A298" s="9">
        <v>162</v>
      </c>
      <c r="B298" s="3" t="s">
        <v>617</v>
      </c>
      <c r="C298" s="4" t="s">
        <v>5</v>
      </c>
      <c r="D298" s="5" t="s">
        <v>618</v>
      </c>
      <c r="E298" s="6" t="s">
        <v>618</v>
      </c>
      <c r="F298" s="7" t="s">
        <v>8</v>
      </c>
      <c r="G298" s="8" t="s">
        <v>493</v>
      </c>
    </row>
    <row r="299" spans="1:7" ht="18.75" customHeight="1" x14ac:dyDescent="0.25">
      <c r="A299" s="9">
        <v>167</v>
      </c>
      <c r="B299" s="3" t="s">
        <v>627</v>
      </c>
      <c r="C299" s="4" t="s">
        <v>5</v>
      </c>
      <c r="D299" s="5" t="s">
        <v>628</v>
      </c>
      <c r="E299" s="6" t="s">
        <v>628</v>
      </c>
      <c r="F299" s="7" t="s">
        <v>8</v>
      </c>
      <c r="G299" s="8" t="s">
        <v>493</v>
      </c>
    </row>
    <row r="300" spans="1:7" ht="18.75" customHeight="1" x14ac:dyDescent="0.25">
      <c r="A300" s="9">
        <v>355</v>
      </c>
      <c r="B300" s="3" t="s">
        <v>1354</v>
      </c>
      <c r="C300" s="4" t="s">
        <v>5</v>
      </c>
      <c r="D300" s="5"/>
      <c r="E300" s="6"/>
      <c r="F300" s="7"/>
      <c r="G300" s="8" t="s">
        <v>1331</v>
      </c>
    </row>
    <row r="301" spans="1:7" ht="18.75" customHeight="1" x14ac:dyDescent="0.25">
      <c r="A301" s="9">
        <v>358</v>
      </c>
      <c r="B301" s="3" t="s">
        <v>1357</v>
      </c>
      <c r="C301" s="4" t="s">
        <v>5</v>
      </c>
      <c r="D301" s="5"/>
      <c r="E301" s="6"/>
      <c r="F301" s="7"/>
      <c r="G301" s="8" t="s">
        <v>1331</v>
      </c>
    </row>
    <row r="302" spans="1:7" ht="18.75" customHeight="1" x14ac:dyDescent="0.25">
      <c r="A302" s="9">
        <v>351</v>
      </c>
      <c r="B302" s="3" t="s">
        <v>1350</v>
      </c>
      <c r="C302" s="4" t="s">
        <v>5</v>
      </c>
      <c r="D302" s="5"/>
      <c r="E302" s="6"/>
      <c r="F302" s="7"/>
      <c r="G302" s="8" t="s">
        <v>1331</v>
      </c>
    </row>
    <row r="303" spans="1:7" ht="18.75" customHeight="1" x14ac:dyDescent="0.25">
      <c r="A303" s="9">
        <v>176</v>
      </c>
      <c r="B303" s="3" t="s">
        <v>642</v>
      </c>
      <c r="C303" s="4" t="s">
        <v>5</v>
      </c>
      <c r="D303" s="5" t="s">
        <v>643</v>
      </c>
      <c r="E303" s="6" t="s">
        <v>643</v>
      </c>
      <c r="F303" s="7" t="s">
        <v>8</v>
      </c>
      <c r="G303" s="8" t="s">
        <v>493</v>
      </c>
    </row>
    <row r="304" spans="1:7" ht="18.75" customHeight="1" x14ac:dyDescent="0.25">
      <c r="A304" s="9">
        <v>353</v>
      </c>
      <c r="B304" s="3" t="s">
        <v>1352</v>
      </c>
      <c r="C304" s="4" t="s">
        <v>5</v>
      </c>
      <c r="D304" s="5"/>
      <c r="E304" s="6"/>
      <c r="F304" s="7"/>
      <c r="G304" s="8" t="s">
        <v>1331</v>
      </c>
    </row>
    <row r="305" spans="1:7" ht="18.75" customHeight="1" x14ac:dyDescent="0.25">
      <c r="A305" s="9">
        <v>354</v>
      </c>
      <c r="B305" s="3" t="s">
        <v>1353</v>
      </c>
      <c r="C305" s="4" t="s">
        <v>5</v>
      </c>
      <c r="D305" s="5"/>
      <c r="E305" s="6"/>
      <c r="F305" s="7"/>
      <c r="G305" s="8" t="s">
        <v>1331</v>
      </c>
    </row>
    <row r="306" spans="1:7" ht="18.75" customHeight="1" x14ac:dyDescent="0.25">
      <c r="A306" s="9">
        <v>352</v>
      </c>
      <c r="B306" s="3" t="s">
        <v>1351</v>
      </c>
      <c r="C306" s="4" t="s">
        <v>5</v>
      </c>
      <c r="D306" s="5"/>
      <c r="E306" s="6"/>
      <c r="F306" s="7"/>
      <c r="G306" s="8" t="s">
        <v>1331</v>
      </c>
    </row>
    <row r="307" spans="1:7" ht="18.75" customHeight="1" x14ac:dyDescent="0.25">
      <c r="A307" s="9">
        <v>170</v>
      </c>
      <c r="B307" s="3" t="s">
        <v>634</v>
      </c>
      <c r="C307" s="4" t="s">
        <v>5</v>
      </c>
      <c r="D307" s="5">
        <v>127.18</v>
      </c>
      <c r="E307" s="6">
        <v>127.18</v>
      </c>
      <c r="F307" s="7">
        <v>0</v>
      </c>
      <c r="G307" s="8" t="s">
        <v>493</v>
      </c>
    </row>
    <row r="308" spans="1:7" ht="18.75" customHeight="1" x14ac:dyDescent="0.25">
      <c r="A308" s="9">
        <v>168</v>
      </c>
      <c r="B308" s="3" t="s">
        <v>629</v>
      </c>
      <c r="C308" s="4" t="s">
        <v>5</v>
      </c>
      <c r="D308" s="5" t="s">
        <v>630</v>
      </c>
      <c r="E308" s="6" t="s">
        <v>630</v>
      </c>
      <c r="F308" s="7" t="s">
        <v>8</v>
      </c>
      <c r="G308" s="8" t="s">
        <v>493</v>
      </c>
    </row>
    <row r="309" spans="1:7" ht="18.75" customHeight="1" x14ac:dyDescent="0.25">
      <c r="A309" s="9">
        <v>171</v>
      </c>
      <c r="B309" s="3" t="s">
        <v>635</v>
      </c>
      <c r="C309" s="4" t="s">
        <v>5</v>
      </c>
      <c r="D309" s="5" t="s">
        <v>636</v>
      </c>
      <c r="E309" s="6" t="s">
        <v>636</v>
      </c>
      <c r="F309" s="7" t="s">
        <v>8</v>
      </c>
      <c r="G309" s="8" t="s">
        <v>493</v>
      </c>
    </row>
    <row r="310" spans="1:7" ht="18.75" customHeight="1" x14ac:dyDescent="0.25">
      <c r="A310" s="9">
        <v>116</v>
      </c>
      <c r="B310" s="3" t="s">
        <v>491</v>
      </c>
      <c r="C310" s="4" t="s">
        <v>5</v>
      </c>
      <c r="D310" s="5" t="s">
        <v>492</v>
      </c>
      <c r="E310" s="6" t="s">
        <v>492</v>
      </c>
      <c r="F310" s="7" t="s">
        <v>8</v>
      </c>
      <c r="G310" s="8" t="s">
        <v>493</v>
      </c>
    </row>
    <row r="311" spans="1:7" ht="18.75" customHeight="1" x14ac:dyDescent="0.25">
      <c r="A311" s="9">
        <v>215</v>
      </c>
      <c r="B311" s="3" t="s">
        <v>810</v>
      </c>
      <c r="C311" s="4" t="s">
        <v>5</v>
      </c>
      <c r="D311" s="5" t="s">
        <v>811</v>
      </c>
      <c r="E311" s="6" t="s">
        <v>812</v>
      </c>
      <c r="F311" s="7" t="s">
        <v>813</v>
      </c>
      <c r="G311" s="8" t="s">
        <v>814</v>
      </c>
    </row>
    <row r="312" spans="1:7" ht="18.75" hidden="1" customHeight="1" x14ac:dyDescent="0.25">
      <c r="A312" s="9">
        <v>254</v>
      </c>
      <c r="B312" s="22" t="s">
        <v>987</v>
      </c>
      <c r="C312" s="4" t="s">
        <v>5</v>
      </c>
      <c r="D312" s="5">
        <v>372.6</v>
      </c>
      <c r="E312" s="6">
        <v>567.45000000000005</v>
      </c>
      <c r="F312" s="7">
        <v>-194.85</v>
      </c>
      <c r="G312" s="8" t="s">
        <v>988</v>
      </c>
    </row>
    <row r="313" spans="1:7" ht="18.75" hidden="1" customHeight="1" x14ac:dyDescent="0.25">
      <c r="A313" s="9">
        <v>17</v>
      </c>
      <c r="B313" s="22" t="s">
        <v>71</v>
      </c>
      <c r="C313" s="4" t="s">
        <v>5</v>
      </c>
      <c r="D313" s="5" t="s">
        <v>72</v>
      </c>
      <c r="E313" s="6" t="s">
        <v>73</v>
      </c>
      <c r="F313" s="7" t="s">
        <v>74</v>
      </c>
      <c r="G313" s="8" t="s">
        <v>75</v>
      </c>
    </row>
    <row r="314" spans="1:7" ht="18.75" customHeight="1" x14ac:dyDescent="0.25">
      <c r="A314" s="9">
        <v>277</v>
      </c>
      <c r="B314" s="3" t="s">
        <v>1086</v>
      </c>
      <c r="C314" s="4" t="s">
        <v>5</v>
      </c>
      <c r="D314" s="5" t="s">
        <v>1087</v>
      </c>
      <c r="E314" s="6" t="s">
        <v>1088</v>
      </c>
      <c r="F314" s="7" t="s">
        <v>1089</v>
      </c>
      <c r="G314" s="8" t="s">
        <v>350</v>
      </c>
    </row>
    <row r="315" spans="1:7" ht="18.75" customHeight="1" x14ac:dyDescent="0.25">
      <c r="A315" s="9">
        <v>59</v>
      </c>
      <c r="B315" s="3" t="s">
        <v>253</v>
      </c>
      <c r="C315" s="4" t="s">
        <v>5</v>
      </c>
      <c r="D315" s="5" t="s">
        <v>254</v>
      </c>
      <c r="E315" s="6" t="s">
        <v>255</v>
      </c>
      <c r="F315" s="7" t="s">
        <v>256</v>
      </c>
      <c r="G315" s="8" t="s">
        <v>130</v>
      </c>
    </row>
    <row r="316" spans="1:7" ht="18.75" hidden="1" customHeight="1" x14ac:dyDescent="0.25">
      <c r="A316" s="9">
        <v>261</v>
      </c>
      <c r="B316" s="22" t="s">
        <v>1016</v>
      </c>
      <c r="C316" s="4" t="s">
        <v>5</v>
      </c>
      <c r="D316" s="5">
        <v>347.4</v>
      </c>
      <c r="E316" s="6">
        <v>570.33000000000004</v>
      </c>
      <c r="F316" s="7">
        <v>-222.93</v>
      </c>
      <c r="G316" s="8" t="s">
        <v>1017</v>
      </c>
    </row>
    <row r="317" spans="1:7" ht="18.75" customHeight="1" x14ac:dyDescent="0.25">
      <c r="A317" s="9">
        <v>244</v>
      </c>
      <c r="B317" s="3" t="s">
        <v>946</v>
      </c>
      <c r="C317" s="4" t="s">
        <v>5</v>
      </c>
      <c r="D317" s="5" t="s">
        <v>947</v>
      </c>
      <c r="E317" s="6" t="s">
        <v>948</v>
      </c>
      <c r="F317" s="7" t="s">
        <v>949</v>
      </c>
      <c r="G317" s="8" t="s">
        <v>215</v>
      </c>
    </row>
    <row r="318" spans="1:7" ht="18.75" customHeight="1" x14ac:dyDescent="0.25">
      <c r="A318" s="9">
        <v>247</v>
      </c>
      <c r="B318" s="3" t="s">
        <v>959</v>
      </c>
      <c r="C318" s="4" t="s">
        <v>5</v>
      </c>
      <c r="D318" s="5">
        <v>177.6</v>
      </c>
      <c r="E318" s="6">
        <v>258.06</v>
      </c>
      <c r="F318" s="7">
        <v>-80.459999999999994</v>
      </c>
      <c r="G318" s="8" t="s">
        <v>960</v>
      </c>
    </row>
    <row r="319" spans="1:7" ht="18.75" customHeight="1" x14ac:dyDescent="0.25">
      <c r="A319" s="9">
        <v>280</v>
      </c>
      <c r="B319" s="3" t="s">
        <v>1100</v>
      </c>
      <c r="C319" s="4" t="s">
        <v>5</v>
      </c>
      <c r="D319" s="5" t="s">
        <v>1101</v>
      </c>
      <c r="E319" s="6" t="s">
        <v>1102</v>
      </c>
      <c r="F319" s="7" t="s">
        <v>1103</v>
      </c>
      <c r="G319" s="8" t="s">
        <v>1104</v>
      </c>
    </row>
    <row r="320" spans="1:7" ht="18.75" customHeight="1" x14ac:dyDescent="0.25">
      <c r="A320" s="9">
        <v>191</v>
      </c>
      <c r="B320" s="3" t="s">
        <v>703</v>
      </c>
      <c r="C320" s="4" t="s">
        <v>5</v>
      </c>
      <c r="D320" s="5" t="s">
        <v>704</v>
      </c>
      <c r="E320" s="6" t="s">
        <v>705</v>
      </c>
      <c r="F320" s="7" t="s">
        <v>706</v>
      </c>
      <c r="G320" s="8" t="s">
        <v>156</v>
      </c>
    </row>
    <row r="321" spans="1:7" ht="18.75" customHeight="1" x14ac:dyDescent="0.25">
      <c r="A321" s="9">
        <v>360</v>
      </c>
      <c r="B321" s="3" t="s">
        <v>1359</v>
      </c>
      <c r="C321" s="4" t="s">
        <v>5</v>
      </c>
      <c r="D321" s="5"/>
      <c r="E321" s="6"/>
      <c r="F321" s="7"/>
      <c r="G321" s="8" t="s">
        <v>1331</v>
      </c>
    </row>
    <row r="322" spans="1:7" ht="18.75" hidden="1" customHeight="1" x14ac:dyDescent="0.25">
      <c r="A322" s="9">
        <v>61</v>
      </c>
      <c r="B322" s="22" t="s">
        <v>262</v>
      </c>
      <c r="C322" s="4" t="s">
        <v>5</v>
      </c>
      <c r="D322" s="5">
        <v>188</v>
      </c>
      <c r="E322" s="6">
        <v>146.61000000000001</v>
      </c>
      <c r="F322" s="7">
        <v>41.39</v>
      </c>
      <c r="G322" s="8" t="s">
        <v>263</v>
      </c>
    </row>
    <row r="323" spans="1:7" ht="18.75" customHeight="1" x14ac:dyDescent="0.25">
      <c r="A323" s="9">
        <v>186</v>
      </c>
      <c r="B323" s="3" t="s">
        <v>678</v>
      </c>
      <c r="C323" s="4" t="s">
        <v>5</v>
      </c>
      <c r="D323" s="5" t="s">
        <v>679</v>
      </c>
      <c r="E323" s="6" t="s">
        <v>680</v>
      </c>
      <c r="F323" s="7" t="s">
        <v>681</v>
      </c>
      <c r="G323" s="8" t="s">
        <v>682</v>
      </c>
    </row>
    <row r="324" spans="1:7" ht="18.75" customHeight="1" x14ac:dyDescent="0.25">
      <c r="A324" s="9">
        <v>359</v>
      </c>
      <c r="B324" s="3" t="s">
        <v>1358</v>
      </c>
      <c r="C324" s="4" t="s">
        <v>5</v>
      </c>
      <c r="D324" s="5"/>
      <c r="E324" s="6"/>
      <c r="F324" s="7"/>
      <c r="G324" s="8" t="s">
        <v>1331</v>
      </c>
    </row>
    <row r="325" spans="1:7" ht="18.75" hidden="1" customHeight="1" x14ac:dyDescent="0.25">
      <c r="A325" s="9">
        <v>326</v>
      </c>
      <c r="B325" s="22" t="s">
        <v>1305</v>
      </c>
      <c r="C325" s="4" t="s">
        <v>5</v>
      </c>
      <c r="D325" s="5" t="s">
        <v>1306</v>
      </c>
      <c r="E325" s="6" t="s">
        <v>1307</v>
      </c>
      <c r="F325" s="7" t="s">
        <v>1308</v>
      </c>
      <c r="G325" s="8" t="s">
        <v>1309</v>
      </c>
    </row>
    <row r="326" spans="1:7" ht="18.75" customHeight="1" x14ac:dyDescent="0.25">
      <c r="A326" s="9">
        <v>238</v>
      </c>
      <c r="B326" s="3" t="s">
        <v>921</v>
      </c>
      <c r="C326" s="4" t="s">
        <v>5</v>
      </c>
      <c r="D326" s="5" t="s">
        <v>922</v>
      </c>
      <c r="E326" s="6" t="s">
        <v>923</v>
      </c>
      <c r="F326" s="7" t="s">
        <v>924</v>
      </c>
      <c r="G326" s="8" t="s">
        <v>895</v>
      </c>
    </row>
    <row r="327" spans="1:7" ht="18.75" customHeight="1" x14ac:dyDescent="0.25">
      <c r="A327" s="9">
        <v>177</v>
      </c>
      <c r="B327" s="3" t="s">
        <v>644</v>
      </c>
      <c r="C327" s="4" t="s">
        <v>5</v>
      </c>
      <c r="D327" s="5" t="s">
        <v>8</v>
      </c>
      <c r="E327" s="6" t="s">
        <v>645</v>
      </c>
      <c r="F327" s="7" t="s">
        <v>646</v>
      </c>
      <c r="G327" s="8" t="s">
        <v>647</v>
      </c>
    </row>
    <row r="328" spans="1:7" ht="18.75" hidden="1" customHeight="1" x14ac:dyDescent="0.25">
      <c r="A328" s="9">
        <v>14</v>
      </c>
      <c r="B328" s="22" t="s">
        <v>65</v>
      </c>
      <c r="C328" s="4" t="s">
        <v>5</v>
      </c>
      <c r="D328" s="5">
        <v>42</v>
      </c>
      <c r="E328" s="6">
        <v>0</v>
      </c>
      <c r="F328" s="7">
        <v>42</v>
      </c>
      <c r="G328" s="8" t="s">
        <v>66</v>
      </c>
    </row>
    <row r="329" spans="1:7" ht="18.75" customHeight="1" x14ac:dyDescent="0.25">
      <c r="A329" s="9">
        <v>25</v>
      </c>
      <c r="B329" s="3" t="s">
        <v>111</v>
      </c>
      <c r="C329" s="4" t="s">
        <v>5</v>
      </c>
      <c r="D329" s="5" t="s">
        <v>112</v>
      </c>
      <c r="E329" s="6" t="s">
        <v>113</v>
      </c>
      <c r="F329" s="7" t="s">
        <v>114</v>
      </c>
      <c r="G329" s="8" t="s">
        <v>115</v>
      </c>
    </row>
    <row r="330" spans="1:7" ht="18.75" customHeight="1" x14ac:dyDescent="0.25">
      <c r="A330" s="9">
        <v>32</v>
      </c>
      <c r="B330" s="3" t="s">
        <v>145</v>
      </c>
      <c r="C330" s="4" t="s">
        <v>5</v>
      </c>
      <c r="D330" s="5" t="s">
        <v>146</v>
      </c>
      <c r="E330" s="6" t="s">
        <v>147</v>
      </c>
      <c r="F330" s="7" t="s">
        <v>148</v>
      </c>
      <c r="G330" s="8" t="s">
        <v>149</v>
      </c>
    </row>
    <row r="331" spans="1:7" ht="18.75" customHeight="1" x14ac:dyDescent="0.25">
      <c r="A331" s="9">
        <v>65</v>
      </c>
      <c r="B331" s="3" t="s">
        <v>273</v>
      </c>
      <c r="C331" s="4" t="s">
        <v>5</v>
      </c>
      <c r="D331" s="5" t="s">
        <v>274</v>
      </c>
      <c r="E331" s="6" t="s">
        <v>275</v>
      </c>
      <c r="F331" s="7" t="s">
        <v>276</v>
      </c>
      <c r="G331" s="8" t="s">
        <v>277</v>
      </c>
    </row>
    <row r="332" spans="1:7" ht="18.75" customHeight="1" x14ac:dyDescent="0.25">
      <c r="A332" s="9">
        <v>223</v>
      </c>
      <c r="B332" s="3" t="s">
        <v>847</v>
      </c>
      <c r="C332" s="4" t="s">
        <v>5</v>
      </c>
      <c r="D332" s="5" t="s">
        <v>848</v>
      </c>
      <c r="E332" s="6" t="s">
        <v>849</v>
      </c>
      <c r="F332" s="7" t="s">
        <v>850</v>
      </c>
      <c r="G332" s="8" t="s">
        <v>851</v>
      </c>
    </row>
    <row r="333" spans="1:7" ht="18.75" customHeight="1" x14ac:dyDescent="0.25">
      <c r="A333" s="9">
        <v>226</v>
      </c>
      <c r="B333" s="3" t="s">
        <v>862</v>
      </c>
      <c r="C333" s="4" t="s">
        <v>5</v>
      </c>
      <c r="D333" s="5" t="s">
        <v>863</v>
      </c>
      <c r="E333" s="6" t="s">
        <v>864</v>
      </c>
      <c r="F333" s="7" t="s">
        <v>865</v>
      </c>
      <c r="G333" s="8" t="s">
        <v>866</v>
      </c>
    </row>
    <row r="334" spans="1:7" ht="18.75" hidden="1" customHeight="1" x14ac:dyDescent="0.25">
      <c r="A334" s="9">
        <v>163</v>
      </c>
      <c r="B334" s="22" t="s">
        <v>619</v>
      </c>
      <c r="C334" s="4" t="s">
        <v>5</v>
      </c>
      <c r="D334" s="5">
        <v>0</v>
      </c>
      <c r="E334" s="6">
        <v>142.9</v>
      </c>
      <c r="F334" s="7">
        <v>-142.9</v>
      </c>
      <c r="G334" s="8" t="s">
        <v>620</v>
      </c>
    </row>
    <row r="335" spans="1:7" ht="18.75" customHeight="1" x14ac:dyDescent="0.25">
      <c r="A335" s="9">
        <v>97</v>
      </c>
      <c r="B335" s="3" t="s">
        <v>413</v>
      </c>
      <c r="C335" s="4" t="s">
        <v>5</v>
      </c>
      <c r="D335" s="5" t="s">
        <v>414</v>
      </c>
      <c r="E335" s="6" t="s">
        <v>415</v>
      </c>
      <c r="F335" s="7" t="s">
        <v>416</v>
      </c>
      <c r="G335" s="8" t="s">
        <v>417</v>
      </c>
    </row>
    <row r="336" spans="1:7" ht="18.75" hidden="1" customHeight="1" x14ac:dyDescent="0.25">
      <c r="A336" s="9">
        <v>82</v>
      </c>
      <c r="B336" s="22" t="s">
        <v>351</v>
      </c>
      <c r="C336" s="4" t="s">
        <v>5</v>
      </c>
      <c r="D336" s="5">
        <v>37.799999999999997</v>
      </c>
      <c r="E336" s="6">
        <v>32.57</v>
      </c>
      <c r="F336" s="7">
        <v>5.23</v>
      </c>
      <c r="G336" s="8" t="s">
        <v>70</v>
      </c>
    </row>
    <row r="337" spans="1:7" ht="18.75" customHeight="1" x14ac:dyDescent="0.25">
      <c r="A337" s="9">
        <v>332</v>
      </c>
      <c r="B337" s="3" t="s">
        <v>1330</v>
      </c>
      <c r="C337" s="4" t="s">
        <v>5</v>
      </c>
      <c r="D337" s="5"/>
      <c r="E337" s="6"/>
      <c r="F337" s="7"/>
      <c r="G337" s="8" t="s">
        <v>1331</v>
      </c>
    </row>
    <row r="338" spans="1:7" ht="18.75" customHeight="1" x14ac:dyDescent="0.25">
      <c r="A338" s="9">
        <v>109</v>
      </c>
      <c r="B338" s="3" t="s">
        <v>464</v>
      </c>
      <c r="C338" s="4" t="s">
        <v>5</v>
      </c>
      <c r="D338" s="5" t="s">
        <v>465</v>
      </c>
      <c r="E338" s="6" t="s">
        <v>466</v>
      </c>
      <c r="F338" s="7" t="s">
        <v>467</v>
      </c>
      <c r="G338" s="8" t="s">
        <v>468</v>
      </c>
    </row>
    <row r="339" spans="1:7" ht="18.75" customHeight="1" x14ac:dyDescent="0.25">
      <c r="A339" s="9">
        <v>271</v>
      </c>
      <c r="B339" s="3" t="s">
        <v>1062</v>
      </c>
      <c r="C339" s="4" t="s">
        <v>5</v>
      </c>
      <c r="D339" s="5" t="s">
        <v>1063</v>
      </c>
      <c r="E339" s="6" t="s">
        <v>1064</v>
      </c>
      <c r="F339" s="7" t="s">
        <v>1065</v>
      </c>
      <c r="G339" s="8" t="s">
        <v>1066</v>
      </c>
    </row>
    <row r="340" spans="1:7" ht="18.75" customHeight="1" x14ac:dyDescent="0.25">
      <c r="A340" s="9">
        <v>57</v>
      </c>
      <c r="B340" s="3" t="s">
        <v>246</v>
      </c>
      <c r="C340" s="4" t="s">
        <v>5</v>
      </c>
      <c r="D340" s="5" t="s">
        <v>247</v>
      </c>
      <c r="E340" s="6" t="s">
        <v>248</v>
      </c>
      <c r="F340" s="7" t="s">
        <v>249</v>
      </c>
      <c r="G340" s="8" t="s">
        <v>250</v>
      </c>
    </row>
    <row r="341" spans="1:7" ht="18.75" customHeight="1" x14ac:dyDescent="0.25">
      <c r="A341" s="9">
        <v>304</v>
      </c>
      <c r="B341" s="3" t="s">
        <v>1207</v>
      </c>
      <c r="C341" s="4" t="s">
        <v>5</v>
      </c>
      <c r="D341" s="5" t="s">
        <v>1208</v>
      </c>
      <c r="E341" s="6" t="s">
        <v>1209</v>
      </c>
      <c r="F341" s="7" t="s">
        <v>1210</v>
      </c>
      <c r="G341" s="8" t="s">
        <v>1211</v>
      </c>
    </row>
    <row r="342" spans="1:7" ht="18.75" customHeight="1" x14ac:dyDescent="0.25">
      <c r="A342" s="9">
        <v>246</v>
      </c>
      <c r="B342" s="3" t="s">
        <v>954</v>
      </c>
      <c r="C342" s="4" t="s">
        <v>5</v>
      </c>
      <c r="D342" s="5" t="s">
        <v>955</v>
      </c>
      <c r="E342" s="6" t="s">
        <v>956</v>
      </c>
      <c r="F342" s="7" t="s">
        <v>957</v>
      </c>
      <c r="G342" s="8" t="s">
        <v>958</v>
      </c>
    </row>
    <row r="343" spans="1:7" ht="18.75" customHeight="1" x14ac:dyDescent="0.25">
      <c r="A343" s="9">
        <v>218</v>
      </c>
      <c r="B343" s="3" t="s">
        <v>825</v>
      </c>
      <c r="C343" s="4" t="s">
        <v>5</v>
      </c>
      <c r="D343" s="5" t="s">
        <v>826</v>
      </c>
      <c r="E343" s="6" t="s">
        <v>827</v>
      </c>
      <c r="F343" s="7" t="s">
        <v>828</v>
      </c>
      <c r="G343" s="8" t="s">
        <v>829</v>
      </c>
    </row>
    <row r="344" spans="1:7" ht="18.75" customHeight="1" x14ac:dyDescent="0.25">
      <c r="A344" s="9">
        <v>127</v>
      </c>
      <c r="B344" s="3" t="s">
        <v>523</v>
      </c>
      <c r="C344" s="4" t="s">
        <v>5</v>
      </c>
      <c r="D344" s="5" t="s">
        <v>524</v>
      </c>
      <c r="E344" s="6" t="s">
        <v>524</v>
      </c>
      <c r="F344" s="7" t="s">
        <v>8</v>
      </c>
      <c r="G344" s="8" t="s">
        <v>493</v>
      </c>
    </row>
    <row r="345" spans="1:7" ht="18.75" hidden="1" customHeight="1" x14ac:dyDescent="0.25">
      <c r="A345" s="9">
        <v>38</v>
      </c>
      <c r="B345" s="22" t="s">
        <v>172</v>
      </c>
      <c r="C345" s="4" t="s">
        <v>5</v>
      </c>
      <c r="D345" s="5">
        <v>206</v>
      </c>
      <c r="E345" s="6">
        <v>110.08</v>
      </c>
      <c r="F345" s="7">
        <v>95.92</v>
      </c>
      <c r="G345" s="8" t="s">
        <v>173</v>
      </c>
    </row>
    <row r="346" spans="1:7" ht="18.75" customHeight="1" x14ac:dyDescent="0.25">
      <c r="A346" s="9">
        <v>73</v>
      </c>
      <c r="B346" s="3" t="s">
        <v>307</v>
      </c>
      <c r="C346" s="4" t="s">
        <v>5</v>
      </c>
      <c r="D346" s="5" t="s">
        <v>308</v>
      </c>
      <c r="E346" s="6" t="s">
        <v>309</v>
      </c>
      <c r="F346" s="7" t="s">
        <v>310</v>
      </c>
      <c r="G346" s="8" t="s">
        <v>194</v>
      </c>
    </row>
    <row r="347" spans="1:7" ht="18.75" customHeight="1" x14ac:dyDescent="0.25">
      <c r="A347" s="9">
        <v>184</v>
      </c>
      <c r="B347" s="3" t="s">
        <v>671</v>
      </c>
      <c r="C347" s="4" t="s">
        <v>5</v>
      </c>
      <c r="D347" s="5" t="s">
        <v>672</v>
      </c>
      <c r="E347" s="6" t="s">
        <v>673</v>
      </c>
      <c r="F347" s="7" t="s">
        <v>674</v>
      </c>
      <c r="G347" s="8" t="s">
        <v>675</v>
      </c>
    </row>
    <row r="348" spans="1:7" ht="18.75" customHeight="1" x14ac:dyDescent="0.25">
      <c r="A348" s="9">
        <v>34</v>
      </c>
      <c r="B348" s="3" t="s">
        <v>152</v>
      </c>
      <c r="C348" s="4" t="s">
        <v>5</v>
      </c>
      <c r="D348" s="5" t="s">
        <v>153</v>
      </c>
      <c r="E348" s="6" t="s">
        <v>154</v>
      </c>
      <c r="F348" s="7" t="s">
        <v>155</v>
      </c>
      <c r="G348" s="8" t="s">
        <v>156</v>
      </c>
    </row>
    <row r="349" spans="1:7" ht="18.75" hidden="1" customHeight="1" x14ac:dyDescent="0.25">
      <c r="A349" s="9">
        <v>112</v>
      </c>
      <c r="B349" s="22" t="s">
        <v>479</v>
      </c>
      <c r="C349" s="4" t="s">
        <v>5</v>
      </c>
      <c r="D349" s="5">
        <v>170.4</v>
      </c>
      <c r="E349" s="6">
        <v>167.29</v>
      </c>
      <c r="F349" s="7">
        <v>3.11</v>
      </c>
      <c r="G349" s="8" t="s">
        <v>180</v>
      </c>
    </row>
    <row r="350" spans="1:7" ht="18.75" customHeight="1" x14ac:dyDescent="0.25">
      <c r="A350" s="9">
        <v>132</v>
      </c>
      <c r="B350" s="3" t="s">
        <v>533</v>
      </c>
      <c r="C350" s="4" t="s">
        <v>5</v>
      </c>
      <c r="D350" s="5" t="s">
        <v>8</v>
      </c>
      <c r="E350" s="6" t="s">
        <v>8</v>
      </c>
      <c r="F350" s="7" t="s">
        <v>8</v>
      </c>
      <c r="G350" s="8" t="s">
        <v>493</v>
      </c>
    </row>
    <row r="351" spans="1:7" ht="18.75" hidden="1" customHeight="1" x14ac:dyDescent="0.25">
      <c r="A351" s="9">
        <v>67</v>
      </c>
      <c r="B351" s="22" t="s">
        <v>280</v>
      </c>
      <c r="C351" s="4" t="s">
        <v>5</v>
      </c>
      <c r="D351" s="5" t="s">
        <v>281</v>
      </c>
      <c r="E351" s="6" t="s">
        <v>282</v>
      </c>
      <c r="F351" s="7" t="s">
        <v>283</v>
      </c>
      <c r="G351" s="8" t="s">
        <v>284</v>
      </c>
    </row>
    <row r="352" spans="1:7" ht="18.75" hidden="1" customHeight="1" x14ac:dyDescent="0.25">
      <c r="A352" s="9">
        <v>40</v>
      </c>
      <c r="B352" s="22" t="s">
        <v>179</v>
      </c>
      <c r="C352" s="4" t="s">
        <v>5</v>
      </c>
      <c r="D352" s="5">
        <v>217.2</v>
      </c>
      <c r="E352" s="6">
        <v>122.08</v>
      </c>
      <c r="F352" s="7">
        <v>95.12</v>
      </c>
      <c r="G352" s="8" t="s">
        <v>180</v>
      </c>
    </row>
    <row r="353" spans="1:7" ht="18.75" customHeight="1" x14ac:dyDescent="0.25">
      <c r="A353" s="9">
        <v>220</v>
      </c>
      <c r="B353" s="3" t="s">
        <v>835</v>
      </c>
      <c r="C353" s="4" t="s">
        <v>5</v>
      </c>
      <c r="D353" s="5" t="s">
        <v>836</v>
      </c>
      <c r="E353" s="6" t="s">
        <v>837</v>
      </c>
      <c r="F353" s="7" t="s">
        <v>838</v>
      </c>
      <c r="G353" s="8" t="s">
        <v>804</v>
      </c>
    </row>
    <row r="354" spans="1:7" ht="18.75" customHeight="1" x14ac:dyDescent="0.25">
      <c r="A354" s="9">
        <v>141</v>
      </c>
      <c r="B354" s="3" t="s">
        <v>563</v>
      </c>
      <c r="C354" s="4" t="s">
        <v>5</v>
      </c>
      <c r="D354" s="5" t="s">
        <v>8</v>
      </c>
      <c r="E354" s="6" t="s">
        <v>564</v>
      </c>
      <c r="F354" s="7" t="s">
        <v>565</v>
      </c>
      <c r="G354" s="8" t="s">
        <v>566</v>
      </c>
    </row>
    <row r="355" spans="1:7" ht="18.75" customHeight="1" x14ac:dyDescent="0.25">
      <c r="A355" s="9">
        <v>103</v>
      </c>
      <c r="B355" s="3" t="s">
        <v>434</v>
      </c>
      <c r="C355" s="4" t="s">
        <v>5</v>
      </c>
      <c r="D355" s="5" t="s">
        <v>435</v>
      </c>
      <c r="E355" s="6" t="s">
        <v>436</v>
      </c>
      <c r="F355" s="7" t="s">
        <v>437</v>
      </c>
      <c r="G355" s="8" t="s">
        <v>438</v>
      </c>
    </row>
    <row r="356" spans="1:7" ht="18.75" customHeight="1" x14ac:dyDescent="0.25">
      <c r="A356" s="9">
        <v>251</v>
      </c>
      <c r="B356" s="3" t="s">
        <v>975</v>
      </c>
      <c r="C356" s="4" t="s">
        <v>5</v>
      </c>
      <c r="D356" s="5" t="s">
        <v>976</v>
      </c>
      <c r="E356" s="6" t="s">
        <v>977</v>
      </c>
      <c r="F356" s="7" t="s">
        <v>978</v>
      </c>
      <c r="G356" s="8" t="s">
        <v>979</v>
      </c>
    </row>
    <row r="357" spans="1:7" ht="18.75" customHeight="1" x14ac:dyDescent="0.25">
      <c r="A357" s="9">
        <v>101</v>
      </c>
      <c r="B357" s="3" t="s">
        <v>427</v>
      </c>
      <c r="C357" s="4" t="s">
        <v>5</v>
      </c>
      <c r="D357" s="5" t="s">
        <v>428</v>
      </c>
      <c r="E357" s="6" t="s">
        <v>429</v>
      </c>
      <c r="F357" s="7" t="s">
        <v>430</v>
      </c>
      <c r="G357" s="8" t="s">
        <v>431</v>
      </c>
    </row>
    <row r="358" spans="1:7" ht="18.75" customHeight="1" x14ac:dyDescent="0.25">
      <c r="A358" s="9">
        <v>250</v>
      </c>
      <c r="B358" s="3" t="s">
        <v>971</v>
      </c>
      <c r="C358" s="4" t="s">
        <v>5</v>
      </c>
      <c r="D358" s="5" t="s">
        <v>972</v>
      </c>
      <c r="E358" s="6" t="s">
        <v>973</v>
      </c>
      <c r="F358" s="7" t="s">
        <v>974</v>
      </c>
      <c r="G358" s="8" t="s">
        <v>350</v>
      </c>
    </row>
    <row r="359" spans="1:7" ht="18.75" hidden="1" customHeight="1" x14ac:dyDescent="0.25">
      <c r="A359" s="9">
        <v>95</v>
      </c>
      <c r="B359" s="22" t="s">
        <v>406</v>
      </c>
      <c r="C359" s="4" t="s">
        <v>5</v>
      </c>
      <c r="D359" s="5">
        <v>111.6</v>
      </c>
      <c r="E359" s="6">
        <v>102.37</v>
      </c>
      <c r="F359" s="7">
        <v>9.23</v>
      </c>
      <c r="G359" s="8" t="s">
        <v>407</v>
      </c>
    </row>
    <row r="360" spans="1:7" ht="18.75" customHeight="1" x14ac:dyDescent="0.25">
      <c r="A360" s="9">
        <v>107</v>
      </c>
      <c r="B360" s="3" t="s">
        <v>454</v>
      </c>
      <c r="C360" s="4" t="s">
        <v>5</v>
      </c>
      <c r="D360" s="5" t="s">
        <v>455</v>
      </c>
      <c r="E360" s="6" t="s">
        <v>456</v>
      </c>
      <c r="F360" s="7" t="s">
        <v>457</v>
      </c>
      <c r="G360" s="8" t="s">
        <v>458</v>
      </c>
    </row>
    <row r="361" spans="1:7" ht="18.75" customHeight="1" x14ac:dyDescent="0.25">
      <c r="A361" s="9">
        <v>292</v>
      </c>
      <c r="B361" s="3" t="s">
        <v>1158</v>
      </c>
      <c r="C361" s="4" t="s">
        <v>5</v>
      </c>
      <c r="D361" s="5" t="s">
        <v>175</v>
      </c>
      <c r="E361" s="6" t="s">
        <v>1159</v>
      </c>
      <c r="F361" s="7" t="s">
        <v>1160</v>
      </c>
      <c r="G361" s="8" t="s">
        <v>1161</v>
      </c>
    </row>
    <row r="362" spans="1:7" ht="18.75" customHeight="1" x14ac:dyDescent="0.25">
      <c r="A362" s="9">
        <v>204</v>
      </c>
      <c r="B362" s="3" t="s">
        <v>757</v>
      </c>
      <c r="C362" s="4" t="s">
        <v>5</v>
      </c>
      <c r="D362" s="5" t="s">
        <v>758</v>
      </c>
      <c r="E362" s="6" t="s">
        <v>759</v>
      </c>
      <c r="F362" s="7" t="s">
        <v>760</v>
      </c>
      <c r="G362" s="8" t="s">
        <v>761</v>
      </c>
    </row>
    <row r="363" spans="1:7" ht="18.75" customHeight="1" x14ac:dyDescent="0.25">
      <c r="A363" s="9">
        <v>311</v>
      </c>
      <c r="B363" s="3" t="s">
        <v>1235</v>
      </c>
      <c r="C363" s="4" t="s">
        <v>5</v>
      </c>
      <c r="D363" s="5" t="s">
        <v>1236</v>
      </c>
      <c r="E363" s="6" t="s">
        <v>1237</v>
      </c>
      <c r="F363" s="7" t="s">
        <v>1238</v>
      </c>
      <c r="G363" s="8" t="s">
        <v>1239</v>
      </c>
    </row>
    <row r="364" spans="1:7" ht="18.75" customHeight="1" x14ac:dyDescent="0.25">
      <c r="A364" s="9">
        <v>1</v>
      </c>
      <c r="B364" s="3" t="s">
        <v>4</v>
      </c>
      <c r="C364" s="4" t="s">
        <v>5</v>
      </c>
      <c r="D364" s="5" t="s">
        <v>6</v>
      </c>
      <c r="E364" s="6" t="s">
        <v>7</v>
      </c>
      <c r="F364" s="7" t="s">
        <v>9</v>
      </c>
      <c r="G364" s="8" t="s">
        <v>10</v>
      </c>
    </row>
    <row r="365" spans="1:7" ht="18.75" customHeight="1" x14ac:dyDescent="0.25">
      <c r="A365" s="9">
        <v>140</v>
      </c>
      <c r="B365" s="3" t="s">
        <v>559</v>
      </c>
      <c r="C365" s="4" t="s">
        <v>5</v>
      </c>
      <c r="D365" s="5" t="s">
        <v>8</v>
      </c>
      <c r="E365" s="6" t="s">
        <v>560</v>
      </c>
      <c r="F365" s="7" t="s">
        <v>561</v>
      </c>
      <c r="G365" s="8" t="s">
        <v>562</v>
      </c>
    </row>
  </sheetData>
  <autoFilter ref="A3:G365" xr:uid="{B499CCD7-5C25-445E-A12F-D1924B386440}">
    <filterColumn colId="1">
      <colorFilter dxfId="1"/>
    </filterColumn>
    <filterColumn colId="5" showButton="0"/>
    <sortState xmlns:xlrd2="http://schemas.microsoft.com/office/spreadsheetml/2017/richdata2" ref="A6:G365">
      <sortCondition ref="B3:B365"/>
    </sortState>
  </autoFilter>
  <mergeCells count="9">
    <mergeCell ref="A1:G1"/>
    <mergeCell ref="A3:A4"/>
    <mergeCell ref="A2:B2"/>
    <mergeCell ref="C2:F2"/>
    <mergeCell ref="D3:D4"/>
    <mergeCell ref="E3:E4"/>
    <mergeCell ref="B3:B4"/>
    <mergeCell ref="C3:C4"/>
    <mergeCell ref="G3:G4"/>
  </mergeCells>
  <pageMargins left="0" right="0" top="0" bottom="0" header="0" footer="0"/>
  <pageSetup paperSize="9" scale="98" orientation="landscape" verticalDpi="0" r:id="rId1"/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934F-8C32-4452-87A9-D963302F199A}">
  <dimension ref="A1:M41"/>
  <sheetViews>
    <sheetView tabSelected="1" zoomScaleNormal="100" workbookViewId="0">
      <selection activeCell="F3" sqref="F3"/>
    </sheetView>
  </sheetViews>
  <sheetFormatPr defaultRowHeight="15" x14ac:dyDescent="0.25"/>
  <cols>
    <col min="1" max="1" width="7.85546875" style="18" customWidth="1"/>
    <col min="2" max="2" width="8" style="18" customWidth="1"/>
    <col min="3" max="3" width="16.7109375" style="18" customWidth="1"/>
    <col min="4" max="5" width="16" style="18" customWidth="1"/>
    <col min="6" max="7" width="14.7109375" style="18" customWidth="1"/>
    <col min="8" max="8" width="15.42578125" style="18" customWidth="1"/>
    <col min="9" max="9" width="14.140625" style="18" customWidth="1"/>
    <col min="10" max="10" width="16" style="18" customWidth="1"/>
    <col min="11" max="11" width="11.7109375" style="18" bestFit="1" customWidth="1"/>
    <col min="12" max="12" width="14.140625" style="18" bestFit="1" customWidth="1"/>
    <col min="13" max="13" width="40.28515625" style="13" customWidth="1"/>
    <col min="14" max="16384" width="9.140625" style="18"/>
  </cols>
  <sheetData>
    <row r="1" spans="1:13" ht="28.5" customHeight="1" x14ac:dyDescent="0.25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ht="28.5" customHeight="1" x14ac:dyDescent="0.25">
      <c r="A2" s="39" t="s">
        <v>1</v>
      </c>
      <c r="B2" s="39"/>
      <c r="C2" s="39"/>
      <c r="D2" s="39"/>
      <c r="E2" s="39"/>
      <c r="F2" s="39"/>
      <c r="G2" s="20"/>
    </row>
    <row r="3" spans="1:13" s="13" customFormat="1" ht="117.75" customHeight="1" x14ac:dyDescent="0.25">
      <c r="A3" s="32" t="s">
        <v>2</v>
      </c>
      <c r="B3" s="32" t="s">
        <v>1361</v>
      </c>
      <c r="C3" s="32" t="s">
        <v>1362</v>
      </c>
      <c r="D3" s="32" t="s">
        <v>1363</v>
      </c>
      <c r="E3" s="32" t="s">
        <v>1364</v>
      </c>
      <c r="F3" s="19" t="s">
        <v>1365</v>
      </c>
      <c r="G3" s="32" t="s">
        <v>1366</v>
      </c>
      <c r="H3" s="32" t="s">
        <v>1362</v>
      </c>
      <c r="I3" s="32" t="s">
        <v>1369</v>
      </c>
      <c r="J3" s="32" t="s">
        <v>1364</v>
      </c>
      <c r="K3" s="19" t="s">
        <v>1365</v>
      </c>
      <c r="L3" s="19" t="s">
        <v>1367</v>
      </c>
      <c r="M3" s="19" t="s">
        <v>1373</v>
      </c>
    </row>
    <row r="4" spans="1:13" ht="18.75" customHeight="1" x14ac:dyDescent="0.25">
      <c r="A4" s="35"/>
      <c r="B4" s="33"/>
      <c r="C4" s="33"/>
      <c r="D4" s="33"/>
      <c r="E4" s="33"/>
      <c r="F4" s="21" t="s">
        <v>3</v>
      </c>
      <c r="G4" s="33"/>
      <c r="H4" s="33"/>
      <c r="I4" s="33"/>
      <c r="J4" s="33"/>
      <c r="K4" s="21" t="s">
        <v>3</v>
      </c>
      <c r="L4" s="21"/>
      <c r="M4" s="18"/>
    </row>
    <row r="5" spans="1:13" ht="18.75" customHeight="1" x14ac:dyDescent="0.25">
      <c r="A5" s="9">
        <v>1</v>
      </c>
      <c r="B5" s="37" t="s">
        <v>69</v>
      </c>
      <c r="C5" s="4" t="s">
        <v>5</v>
      </c>
      <c r="D5" s="5">
        <v>477.2</v>
      </c>
      <c r="E5" s="6">
        <v>63.4</v>
      </c>
      <c r="F5" s="7">
        <v>413.8</v>
      </c>
      <c r="G5" s="8" t="s">
        <v>70</v>
      </c>
      <c r="H5" s="24">
        <v>46242</v>
      </c>
      <c r="I5" s="4">
        <v>127.25333333333333</v>
      </c>
      <c r="J5" s="4">
        <v>105.3</v>
      </c>
      <c r="K5" s="4">
        <v>21.953333333333333</v>
      </c>
      <c r="L5" s="4">
        <v>20.848369737258629</v>
      </c>
      <c r="M5" s="38"/>
    </row>
    <row r="6" spans="1:13" ht="18.75" customHeight="1" x14ac:dyDescent="0.25">
      <c r="A6" s="9">
        <v>2</v>
      </c>
      <c r="B6" s="37" t="s">
        <v>278</v>
      </c>
      <c r="C6" s="4" t="s">
        <v>5</v>
      </c>
      <c r="D6" s="5">
        <v>466.4</v>
      </c>
      <c r="E6" s="6">
        <v>371.74</v>
      </c>
      <c r="F6" s="7">
        <v>94.66</v>
      </c>
      <c r="G6" s="8" t="s">
        <v>279</v>
      </c>
      <c r="H6" s="24">
        <v>46242</v>
      </c>
      <c r="I6" s="4">
        <v>118</v>
      </c>
      <c r="J6" s="4">
        <v>93.2</v>
      </c>
      <c r="K6" s="4">
        <v>24.799999999999997</v>
      </c>
      <c r="L6" s="4">
        <v>26.609442060085833</v>
      </c>
      <c r="M6" s="38"/>
    </row>
    <row r="7" spans="1:13" ht="18.75" customHeight="1" x14ac:dyDescent="0.25">
      <c r="A7" s="9">
        <v>3</v>
      </c>
      <c r="B7" s="37" t="s">
        <v>36</v>
      </c>
      <c r="C7" s="4" t="s">
        <v>5</v>
      </c>
      <c r="D7" s="5">
        <v>-30.4</v>
      </c>
      <c r="E7" s="6">
        <v>98.08</v>
      </c>
      <c r="F7" s="7">
        <v>-128.47999999999999</v>
      </c>
      <c r="G7" s="8" t="s">
        <v>37</v>
      </c>
      <c r="H7" s="24">
        <v>46242</v>
      </c>
      <c r="I7" s="4"/>
      <c r="J7" s="4"/>
      <c r="K7" s="4"/>
      <c r="L7" s="4"/>
      <c r="M7" s="38"/>
    </row>
    <row r="8" spans="1:13" ht="18.75" customHeight="1" x14ac:dyDescent="0.25">
      <c r="A8" s="9">
        <v>4</v>
      </c>
      <c r="B8" s="37" t="s">
        <v>271</v>
      </c>
      <c r="C8" s="4" t="s">
        <v>5</v>
      </c>
      <c r="D8" s="5">
        <v>600.79999999999995</v>
      </c>
      <c r="E8" s="6">
        <v>475.09</v>
      </c>
      <c r="F8" s="7">
        <v>125.71</v>
      </c>
      <c r="G8" s="8" t="s">
        <v>272</v>
      </c>
      <c r="H8" s="24">
        <v>46242</v>
      </c>
      <c r="I8" s="4">
        <v>156.9</v>
      </c>
      <c r="J8" s="4">
        <v>141.30000000000001</v>
      </c>
      <c r="K8" s="4">
        <v>15.599999999999994</v>
      </c>
      <c r="L8" s="4">
        <v>11.040339702760081</v>
      </c>
      <c r="M8" s="38"/>
    </row>
    <row r="9" spans="1:13" ht="18.75" customHeight="1" x14ac:dyDescent="0.25">
      <c r="A9" s="9">
        <v>5</v>
      </c>
      <c r="B9" s="37" t="s">
        <v>251</v>
      </c>
      <c r="C9" s="4" t="s">
        <v>5</v>
      </c>
      <c r="D9" s="5">
        <v>893.4</v>
      </c>
      <c r="E9" s="6">
        <v>680.79</v>
      </c>
      <c r="F9" s="7">
        <v>212.61</v>
      </c>
      <c r="G9" s="8" t="s">
        <v>252</v>
      </c>
      <c r="H9" s="24">
        <v>46242</v>
      </c>
      <c r="I9" s="4">
        <v>214.2</v>
      </c>
      <c r="J9" s="4">
        <v>186.3</v>
      </c>
      <c r="K9" s="4">
        <v>27.899999999999977</v>
      </c>
      <c r="L9" s="4">
        <v>14.975845410628006</v>
      </c>
      <c r="M9" s="38"/>
    </row>
    <row r="10" spans="1:13" ht="18.75" customHeight="1" x14ac:dyDescent="0.25">
      <c r="A10" s="9">
        <v>6</v>
      </c>
      <c r="B10" s="37" t="s">
        <v>648</v>
      </c>
      <c r="C10" s="4" t="s">
        <v>5</v>
      </c>
      <c r="D10" s="5">
        <v>472</v>
      </c>
      <c r="E10" s="6">
        <v>472.62</v>
      </c>
      <c r="F10" s="7">
        <v>-0.62</v>
      </c>
      <c r="G10" s="8" t="s">
        <v>649</v>
      </c>
      <c r="H10" s="24">
        <v>46242</v>
      </c>
      <c r="I10" s="4">
        <v>96.5</v>
      </c>
      <c r="J10" s="4">
        <v>91.1</v>
      </c>
      <c r="K10" s="4">
        <v>5.4000000000000057</v>
      </c>
      <c r="L10" s="4">
        <v>5.9275521405049458</v>
      </c>
      <c r="M10" s="38"/>
    </row>
    <row r="11" spans="1:13" ht="18.75" customHeight="1" x14ac:dyDescent="0.25">
      <c r="A11" s="9">
        <v>7</v>
      </c>
      <c r="B11" s="37" t="s">
        <v>606</v>
      </c>
      <c r="C11" s="4" t="s">
        <v>5</v>
      </c>
      <c r="D11" s="5">
        <v>0</v>
      </c>
      <c r="E11" s="6">
        <v>68.11</v>
      </c>
      <c r="F11" s="7">
        <v>-68.11</v>
      </c>
      <c r="G11" s="8" t="s">
        <v>70</v>
      </c>
      <c r="H11" s="24">
        <v>46242</v>
      </c>
      <c r="I11" s="4">
        <v>0</v>
      </c>
      <c r="J11" s="4">
        <v>46.3</v>
      </c>
      <c r="K11" s="4">
        <v>-46.3</v>
      </c>
      <c r="L11" s="4">
        <v>0</v>
      </c>
      <c r="M11" s="38" t="s">
        <v>1371</v>
      </c>
    </row>
    <row r="12" spans="1:13" ht="18.75" customHeight="1" x14ac:dyDescent="0.25">
      <c r="A12" s="9">
        <v>8</v>
      </c>
      <c r="B12" s="37" t="s">
        <v>326</v>
      </c>
      <c r="C12" s="4" t="s">
        <v>5</v>
      </c>
      <c r="D12" s="5">
        <v>283.2</v>
      </c>
      <c r="E12" s="6">
        <v>236.4</v>
      </c>
      <c r="F12" s="7">
        <v>46.8</v>
      </c>
      <c r="G12" s="8" t="s">
        <v>330</v>
      </c>
      <c r="H12" s="24">
        <v>46242</v>
      </c>
      <c r="I12" s="4">
        <v>75.52</v>
      </c>
      <c r="J12" s="4">
        <v>66.900000000000006</v>
      </c>
      <c r="K12" s="4">
        <v>8.6199999999999903</v>
      </c>
      <c r="L12" s="4">
        <v>12.884902840059777</v>
      </c>
      <c r="M12" s="38"/>
    </row>
    <row r="13" spans="1:13" ht="18.75" customHeight="1" x14ac:dyDescent="0.25">
      <c r="A13" s="9">
        <v>9</v>
      </c>
      <c r="B13" s="37" t="s">
        <v>1018</v>
      </c>
      <c r="C13" s="4" t="s">
        <v>5</v>
      </c>
      <c r="D13" s="15">
        <v>1094.8</v>
      </c>
      <c r="E13" s="16">
        <v>1800.5</v>
      </c>
      <c r="F13" s="7">
        <v>-705.7</v>
      </c>
      <c r="G13" s="8" t="s">
        <v>1022</v>
      </c>
      <c r="H13" s="24">
        <v>46242</v>
      </c>
      <c r="I13" s="4">
        <v>291.94666666666666</v>
      </c>
      <c r="J13" s="4">
        <v>304.60000000000002</v>
      </c>
      <c r="K13" s="4">
        <v>-12.653333333333364</v>
      </c>
      <c r="L13" s="4">
        <v>-4.1540818559860027</v>
      </c>
      <c r="M13" s="38" t="s">
        <v>1372</v>
      </c>
    </row>
    <row r="14" spans="1:13" ht="18.75" customHeight="1" x14ac:dyDescent="0.25">
      <c r="A14" s="9">
        <v>10</v>
      </c>
      <c r="B14" s="37" t="s">
        <v>707</v>
      </c>
      <c r="C14" s="4" t="s">
        <v>5</v>
      </c>
      <c r="D14" s="5">
        <v>550.20000000000005</v>
      </c>
      <c r="E14" s="6">
        <v>580.29999999999995</v>
      </c>
      <c r="F14" s="7">
        <v>-30.1</v>
      </c>
      <c r="G14" s="8" t="s">
        <v>708</v>
      </c>
      <c r="H14" s="24">
        <v>46242</v>
      </c>
      <c r="I14" s="4">
        <v>130.69999999999999</v>
      </c>
      <c r="J14" s="4">
        <v>152.30000000000001</v>
      </c>
      <c r="K14" s="4">
        <v>-21.600000000000023</v>
      </c>
      <c r="L14" s="4">
        <v>-14.182534471437965</v>
      </c>
      <c r="M14" s="38" t="s">
        <v>1372</v>
      </c>
    </row>
    <row r="15" spans="1:13" ht="18.75" customHeight="1" x14ac:dyDescent="0.25">
      <c r="A15" s="9">
        <v>11</v>
      </c>
      <c r="B15" s="37" t="s">
        <v>480</v>
      </c>
      <c r="C15" s="4" t="s">
        <v>5</v>
      </c>
      <c r="D15" s="5">
        <v>642.79999999999995</v>
      </c>
      <c r="E15" s="6">
        <v>635.72</v>
      </c>
      <c r="F15" s="7">
        <v>7.08</v>
      </c>
      <c r="G15" s="8" t="s">
        <v>481</v>
      </c>
      <c r="H15" s="24">
        <v>46242</v>
      </c>
      <c r="I15" s="4">
        <v>152.6</v>
      </c>
      <c r="J15" s="4">
        <v>133.6</v>
      </c>
      <c r="K15" s="4">
        <v>19</v>
      </c>
      <c r="L15" s="4">
        <v>14.221556886227546</v>
      </c>
      <c r="M15" s="38"/>
    </row>
    <row r="16" spans="1:13" ht="18.75" customHeight="1" x14ac:dyDescent="0.25">
      <c r="A16" s="9">
        <v>12</v>
      </c>
      <c r="B16" s="37" t="s">
        <v>1245</v>
      </c>
      <c r="C16" s="4" t="s">
        <v>5</v>
      </c>
      <c r="D16" s="15">
        <v>1050</v>
      </c>
      <c r="E16" s="16">
        <v>4065.35</v>
      </c>
      <c r="F16" s="17">
        <v>-3015.35</v>
      </c>
      <c r="G16" s="8" t="s">
        <v>1246</v>
      </c>
      <c r="H16" s="24">
        <v>46242</v>
      </c>
      <c r="I16" s="4"/>
      <c r="J16" s="4"/>
      <c r="K16" s="4">
        <v>0</v>
      </c>
      <c r="L16" s="4"/>
      <c r="M16" s="38" t="s">
        <v>1372</v>
      </c>
    </row>
    <row r="17" spans="1:13" ht="18.75" customHeight="1" x14ac:dyDescent="0.25">
      <c r="A17" s="9">
        <v>13</v>
      </c>
      <c r="B17" s="37" t="s">
        <v>655</v>
      </c>
      <c r="C17" s="4" t="s">
        <v>5</v>
      </c>
      <c r="D17" s="5">
        <v>310.39999999999998</v>
      </c>
      <c r="E17" s="6">
        <v>314.43</v>
      </c>
      <c r="F17" s="7">
        <v>-4.03</v>
      </c>
      <c r="G17" s="8" t="s">
        <v>396</v>
      </c>
      <c r="H17" s="24">
        <v>46242</v>
      </c>
      <c r="I17" s="4"/>
      <c r="J17" s="4"/>
      <c r="K17" s="4">
        <v>0</v>
      </c>
      <c r="L17" s="4"/>
      <c r="M17" s="38"/>
    </row>
    <row r="18" spans="1:13" ht="18.75" customHeight="1" x14ac:dyDescent="0.25">
      <c r="A18" s="9">
        <v>14</v>
      </c>
      <c r="B18" s="37" t="s">
        <v>1188</v>
      </c>
      <c r="C18" s="4" t="s">
        <v>5</v>
      </c>
      <c r="D18" s="5">
        <v>660.8</v>
      </c>
      <c r="E18" s="16">
        <v>1802.22</v>
      </c>
      <c r="F18" s="17">
        <v>-1141.42</v>
      </c>
      <c r="G18" s="8" t="s">
        <v>1189</v>
      </c>
      <c r="H18" s="24">
        <v>46242</v>
      </c>
      <c r="I18" s="4">
        <v>143.6</v>
      </c>
      <c r="J18" s="4">
        <v>156.30000000000001</v>
      </c>
      <c r="K18" s="4">
        <v>-12.700000000000017</v>
      </c>
      <c r="L18" s="4">
        <v>-8.1253998720409584</v>
      </c>
      <c r="M18" s="38"/>
    </row>
    <row r="19" spans="1:13" ht="18.75" customHeight="1" x14ac:dyDescent="0.25">
      <c r="A19" s="9">
        <v>15</v>
      </c>
      <c r="B19" s="37" t="s">
        <v>676</v>
      </c>
      <c r="C19" s="4" t="s">
        <v>5</v>
      </c>
      <c r="D19" s="5">
        <v>524.4</v>
      </c>
      <c r="E19" s="6">
        <v>540.39</v>
      </c>
      <c r="F19" s="7">
        <v>-15.99</v>
      </c>
      <c r="G19" s="8" t="s">
        <v>677</v>
      </c>
      <c r="H19" s="24">
        <v>46242</v>
      </c>
      <c r="I19" s="4">
        <v>122.9</v>
      </c>
      <c r="J19" s="4">
        <v>114.6</v>
      </c>
      <c r="K19" s="4">
        <v>8.3000000000000114</v>
      </c>
      <c r="L19" s="4">
        <v>7.2425828970331692</v>
      </c>
      <c r="M19" s="38"/>
    </row>
    <row r="20" spans="1:13" ht="18.75" customHeight="1" x14ac:dyDescent="0.25">
      <c r="A20" s="9">
        <v>16</v>
      </c>
      <c r="B20" s="37" t="s">
        <v>1172</v>
      </c>
      <c r="C20" s="4" t="s">
        <v>5</v>
      </c>
      <c r="D20" s="5">
        <v>222</v>
      </c>
      <c r="E20" s="6">
        <v>555.63</v>
      </c>
      <c r="F20" s="7">
        <v>-333.63</v>
      </c>
      <c r="G20" s="8" t="s">
        <v>1173</v>
      </c>
      <c r="H20" s="24">
        <v>46242</v>
      </c>
      <c r="I20" s="4">
        <v>61.3</v>
      </c>
      <c r="J20" s="4">
        <v>109.6</v>
      </c>
      <c r="K20" s="4">
        <v>-48.3</v>
      </c>
      <c r="L20" s="4">
        <v>-44.069343065693431</v>
      </c>
      <c r="M20" s="38" t="s">
        <v>1372</v>
      </c>
    </row>
    <row r="21" spans="1:13" ht="18.75" customHeight="1" x14ac:dyDescent="0.25">
      <c r="A21" s="9">
        <v>17</v>
      </c>
      <c r="B21" s="37" t="s">
        <v>1084</v>
      </c>
      <c r="C21" s="4" t="s">
        <v>5</v>
      </c>
      <c r="D21" s="5">
        <v>812.4</v>
      </c>
      <c r="E21" s="16">
        <v>1530.61</v>
      </c>
      <c r="F21" s="7">
        <v>-718.21</v>
      </c>
      <c r="G21" s="8" t="s">
        <v>1085</v>
      </c>
      <c r="H21" s="24">
        <v>46242</v>
      </c>
      <c r="I21" s="4">
        <v>178.3</v>
      </c>
      <c r="J21" s="4">
        <v>156.30000000000001</v>
      </c>
      <c r="K21" s="4">
        <v>22</v>
      </c>
      <c r="L21" s="4">
        <v>14.075495841330772</v>
      </c>
      <c r="M21" s="38" t="s">
        <v>1372</v>
      </c>
    </row>
    <row r="22" spans="1:13" ht="18.75" customHeight="1" x14ac:dyDescent="0.25">
      <c r="A22" s="9">
        <v>18</v>
      </c>
      <c r="B22" s="37" t="s">
        <v>1212</v>
      </c>
      <c r="C22" s="4" t="s">
        <v>5</v>
      </c>
      <c r="D22" s="5">
        <v>350.8</v>
      </c>
      <c r="E22" s="16">
        <v>1028.3219999999999</v>
      </c>
      <c r="F22" s="7">
        <v>-677.52200000000005</v>
      </c>
      <c r="G22" s="8" t="s">
        <v>1213</v>
      </c>
      <c r="H22" s="24">
        <v>46242</v>
      </c>
      <c r="I22" s="4">
        <v>82.1</v>
      </c>
      <c r="J22" s="4">
        <v>172.3</v>
      </c>
      <c r="K22" s="4">
        <v>-90.200000000000017</v>
      </c>
      <c r="L22" s="4">
        <v>-52.35055136390018</v>
      </c>
      <c r="M22" s="38" t="s">
        <v>1372</v>
      </c>
    </row>
    <row r="23" spans="1:13" ht="18.75" customHeight="1" x14ac:dyDescent="0.25">
      <c r="A23" s="9">
        <v>19</v>
      </c>
      <c r="B23" s="37" t="s">
        <v>295</v>
      </c>
      <c r="C23" s="4" t="s">
        <v>5</v>
      </c>
      <c r="D23" s="15">
        <v>1316</v>
      </c>
      <c r="E23" s="16">
        <v>1073.05</v>
      </c>
      <c r="F23" s="7">
        <v>242.95</v>
      </c>
      <c r="G23" s="8" t="s">
        <v>296</v>
      </c>
      <c r="H23" s="24">
        <v>46242</v>
      </c>
      <c r="I23" s="4">
        <v>296.3</v>
      </c>
      <c r="J23" s="4">
        <v>269.3</v>
      </c>
      <c r="K23" s="4">
        <v>27</v>
      </c>
      <c r="L23" s="4">
        <v>10.025993316004456</v>
      </c>
      <c r="M23" s="38"/>
    </row>
    <row r="24" spans="1:13" ht="18.75" customHeight="1" x14ac:dyDescent="0.25">
      <c r="A24" s="9">
        <v>20</v>
      </c>
      <c r="B24" s="37" t="s">
        <v>193</v>
      </c>
      <c r="C24" s="4" t="s">
        <v>5</v>
      </c>
      <c r="D24" s="15">
        <v>1020.6</v>
      </c>
      <c r="E24" s="6">
        <v>668.18</v>
      </c>
      <c r="F24" s="7">
        <v>352.42</v>
      </c>
      <c r="G24" s="8" t="s">
        <v>194</v>
      </c>
      <c r="H24" s="24">
        <v>46242</v>
      </c>
      <c r="I24" s="4">
        <v>246.3</v>
      </c>
      <c r="J24" s="4">
        <v>189.3</v>
      </c>
      <c r="K24" s="4">
        <v>57</v>
      </c>
      <c r="L24" s="4">
        <v>30.110935023771788</v>
      </c>
      <c r="M24" s="38"/>
    </row>
    <row r="25" spans="1:13" ht="18.75" customHeight="1" x14ac:dyDescent="0.25">
      <c r="A25" s="9">
        <v>21</v>
      </c>
      <c r="B25" s="37" t="s">
        <v>207</v>
      </c>
      <c r="C25" s="4" t="s">
        <v>5</v>
      </c>
      <c r="D25" s="5">
        <v>633</v>
      </c>
      <c r="E25" s="6">
        <v>446.7</v>
      </c>
      <c r="F25" s="7">
        <v>186.3</v>
      </c>
      <c r="G25" s="8" t="s">
        <v>208</v>
      </c>
      <c r="H25" s="24">
        <v>46242</v>
      </c>
      <c r="I25" s="4">
        <v>142.69999999999999</v>
      </c>
      <c r="J25" s="4">
        <v>126.3</v>
      </c>
      <c r="K25" s="4">
        <v>16.399999999999991</v>
      </c>
      <c r="L25" s="4">
        <v>12.984956452889937</v>
      </c>
      <c r="M25" s="38"/>
    </row>
    <row r="26" spans="1:13" ht="18.75" customHeight="1" x14ac:dyDescent="0.25">
      <c r="A26" s="9">
        <v>22</v>
      </c>
      <c r="B26" s="37" t="s">
        <v>935</v>
      </c>
      <c r="C26" s="4" t="s">
        <v>5</v>
      </c>
      <c r="D26" s="15">
        <v>2062.4</v>
      </c>
      <c r="E26" s="16">
        <v>2912.82</v>
      </c>
      <c r="F26" s="7">
        <v>-850.42</v>
      </c>
      <c r="G26" s="8" t="s">
        <v>936</v>
      </c>
      <c r="H26" s="24">
        <v>46242</v>
      </c>
      <c r="I26" s="4">
        <v>452.3</v>
      </c>
      <c r="J26" s="4">
        <v>502.3</v>
      </c>
      <c r="K26" s="4">
        <v>-50</v>
      </c>
      <c r="L26" s="4">
        <v>-9.954210631096954</v>
      </c>
      <c r="M26" s="38" t="s">
        <v>1372</v>
      </c>
    </row>
    <row r="27" spans="1:13" ht="18.75" customHeight="1" x14ac:dyDescent="0.25">
      <c r="A27" s="9">
        <v>23</v>
      </c>
      <c r="B27" s="37" t="s">
        <v>985</v>
      </c>
      <c r="C27" s="4" t="s">
        <v>5</v>
      </c>
      <c r="D27" s="5">
        <v>358.4</v>
      </c>
      <c r="E27" s="6">
        <v>538.91</v>
      </c>
      <c r="F27" s="7">
        <v>-180.51</v>
      </c>
      <c r="G27" s="8" t="s">
        <v>986</v>
      </c>
      <c r="H27" s="24">
        <v>46242</v>
      </c>
      <c r="I27" s="4">
        <v>94.3</v>
      </c>
      <c r="J27" s="4">
        <v>114.3</v>
      </c>
      <c r="K27" s="4">
        <v>-20</v>
      </c>
      <c r="L27" s="4">
        <v>-17.497812773403325</v>
      </c>
      <c r="M27" s="38" t="s">
        <v>1372</v>
      </c>
    </row>
    <row r="28" spans="1:13" ht="18.75" customHeight="1" x14ac:dyDescent="0.25">
      <c r="A28" s="9">
        <v>24</v>
      </c>
      <c r="B28" s="37" t="s">
        <v>425</v>
      </c>
      <c r="C28" s="4" t="s">
        <v>5</v>
      </c>
      <c r="D28" s="5">
        <v>855.6</v>
      </c>
      <c r="E28" s="6">
        <v>796.83</v>
      </c>
      <c r="F28" s="7">
        <v>58.77</v>
      </c>
      <c r="G28" s="8" t="s">
        <v>426</v>
      </c>
      <c r="H28" s="24">
        <v>46242</v>
      </c>
      <c r="I28" s="4">
        <v>228.4</v>
      </c>
      <c r="J28" s="4">
        <v>213.3</v>
      </c>
      <c r="K28" s="4">
        <v>15.099999999999994</v>
      </c>
      <c r="L28" s="4">
        <v>7.0792311298640387</v>
      </c>
      <c r="M28" s="38"/>
    </row>
    <row r="29" spans="1:13" ht="18.75" customHeight="1" x14ac:dyDescent="0.25">
      <c r="A29" s="9">
        <v>25</v>
      </c>
      <c r="B29" s="37" t="s">
        <v>418</v>
      </c>
      <c r="C29" s="4" t="s">
        <v>5</v>
      </c>
      <c r="D29" s="5">
        <v>400.8</v>
      </c>
      <c r="E29" s="6">
        <v>370.48</v>
      </c>
      <c r="F29" s="7">
        <v>30.32</v>
      </c>
      <c r="G29" s="8" t="s">
        <v>419</v>
      </c>
      <c r="H29" s="24">
        <v>46242</v>
      </c>
      <c r="I29" s="4">
        <v>104.2</v>
      </c>
      <c r="J29" s="4">
        <v>94.6</v>
      </c>
      <c r="K29" s="4">
        <v>9.6000000000000085</v>
      </c>
      <c r="L29" s="4">
        <v>10.147991543340391</v>
      </c>
      <c r="M29" s="38"/>
    </row>
    <row r="30" spans="1:13" ht="18.75" customHeight="1" x14ac:dyDescent="0.25">
      <c r="A30" s="9">
        <v>26</v>
      </c>
      <c r="B30" s="37" t="s">
        <v>195</v>
      </c>
      <c r="C30" s="4" t="s">
        <v>5</v>
      </c>
      <c r="D30" s="5">
        <v>848.8</v>
      </c>
      <c r="E30" s="6">
        <v>583.72</v>
      </c>
      <c r="F30" s="7">
        <v>265.08</v>
      </c>
      <c r="G30" s="8" t="s">
        <v>196</v>
      </c>
      <c r="H30" s="24">
        <v>46242</v>
      </c>
      <c r="I30" s="4">
        <v>198.6</v>
      </c>
      <c r="J30" s="4">
        <v>163.30000000000001</v>
      </c>
      <c r="K30" s="4">
        <v>35.299999999999983</v>
      </c>
      <c r="L30" s="4">
        <v>21.616656460502131</v>
      </c>
      <c r="M30" s="38"/>
    </row>
    <row r="31" spans="1:13" ht="18.75" customHeight="1" x14ac:dyDescent="0.25">
      <c r="A31" s="9">
        <v>27</v>
      </c>
      <c r="B31" s="37" t="s">
        <v>1190</v>
      </c>
      <c r="C31" s="4" t="s">
        <v>5</v>
      </c>
      <c r="D31" s="5">
        <v>54.4</v>
      </c>
      <c r="E31" s="6">
        <v>154.72999999999999</v>
      </c>
      <c r="F31" s="7">
        <v>-100.33</v>
      </c>
      <c r="G31" s="8" t="s">
        <v>1191</v>
      </c>
      <c r="H31" s="24">
        <v>46242</v>
      </c>
      <c r="I31" s="4">
        <v>16.3</v>
      </c>
      <c r="J31" s="4">
        <v>23.6</v>
      </c>
      <c r="K31" s="4">
        <v>-7.3000000000000007</v>
      </c>
      <c r="L31" s="4">
        <v>-30.932203389830512</v>
      </c>
      <c r="M31" s="38" t="s">
        <v>1372</v>
      </c>
    </row>
    <row r="32" spans="1:13" ht="18.75" customHeight="1" x14ac:dyDescent="0.25">
      <c r="A32" s="9">
        <v>28</v>
      </c>
      <c r="B32" s="37" t="s">
        <v>181</v>
      </c>
      <c r="C32" s="4" t="s">
        <v>5</v>
      </c>
      <c r="D32" s="5">
        <v>742.8</v>
      </c>
      <c r="E32" s="6">
        <v>429.97</v>
      </c>
      <c r="F32" s="7">
        <v>312.83</v>
      </c>
      <c r="G32" s="8" t="s">
        <v>182</v>
      </c>
      <c r="H32" s="24">
        <v>46242</v>
      </c>
      <c r="I32" s="4">
        <v>172.3</v>
      </c>
      <c r="J32" s="4">
        <v>134.6</v>
      </c>
      <c r="K32" s="4">
        <v>37.700000000000017</v>
      </c>
      <c r="L32" s="4">
        <v>28.008915304606255</v>
      </c>
      <c r="M32" s="38"/>
    </row>
    <row r="33" spans="1:13" ht="18.75" customHeight="1" x14ac:dyDescent="0.25">
      <c r="A33" s="9">
        <v>29</v>
      </c>
      <c r="B33" s="37" t="s">
        <v>1082</v>
      </c>
      <c r="C33" s="4" t="s">
        <v>5</v>
      </c>
      <c r="D33" s="5">
        <v>354</v>
      </c>
      <c r="E33" s="6">
        <v>648.33000000000004</v>
      </c>
      <c r="F33" s="7">
        <v>-294.33</v>
      </c>
      <c r="G33" s="8" t="s">
        <v>1083</v>
      </c>
      <c r="H33" s="24">
        <v>46242</v>
      </c>
      <c r="I33" s="4">
        <v>92.3</v>
      </c>
      <c r="J33" s="4">
        <v>81.2</v>
      </c>
      <c r="K33" s="4">
        <v>11.099999999999994</v>
      </c>
      <c r="L33" s="4">
        <v>13.669950738916251</v>
      </c>
      <c r="M33" s="38"/>
    </row>
    <row r="34" spans="1:13" ht="18.75" customHeight="1" x14ac:dyDescent="0.25">
      <c r="A34" s="9">
        <v>30</v>
      </c>
      <c r="B34" s="37" t="s">
        <v>38</v>
      </c>
      <c r="C34" s="4" t="s">
        <v>5</v>
      </c>
      <c r="D34" s="5">
        <v>-41.4</v>
      </c>
      <c r="E34" s="6">
        <v>120.91</v>
      </c>
      <c r="F34" s="7">
        <v>-162.31</v>
      </c>
      <c r="G34" s="8" t="s">
        <v>39</v>
      </c>
      <c r="H34" s="24">
        <v>46242</v>
      </c>
      <c r="I34" s="4">
        <v>-11.04</v>
      </c>
      <c r="J34" s="4"/>
      <c r="K34" s="4">
        <v>-11.04</v>
      </c>
      <c r="L34" s="4"/>
      <c r="M34" s="38" t="s">
        <v>1371</v>
      </c>
    </row>
    <row r="35" spans="1:13" ht="18.75" customHeight="1" x14ac:dyDescent="0.25">
      <c r="A35" s="9">
        <v>31</v>
      </c>
      <c r="B35" s="37" t="s">
        <v>390</v>
      </c>
      <c r="C35" s="4" t="s">
        <v>5</v>
      </c>
      <c r="D35" s="5">
        <v>353.6</v>
      </c>
      <c r="E35" s="6">
        <v>322.51</v>
      </c>
      <c r="F35" s="7">
        <v>31.09</v>
      </c>
      <c r="G35" s="8" t="s">
        <v>391</v>
      </c>
      <c r="H35" s="24">
        <v>46242</v>
      </c>
      <c r="I35" s="4">
        <v>89.5</v>
      </c>
      <c r="J35" s="4">
        <v>78.599999999999994</v>
      </c>
      <c r="K35" s="4">
        <v>10.900000000000006</v>
      </c>
      <c r="L35" s="4">
        <v>13.867684478371508</v>
      </c>
      <c r="M35" s="38"/>
    </row>
    <row r="36" spans="1:13" ht="18.75" customHeight="1" x14ac:dyDescent="0.25">
      <c r="A36" s="9">
        <v>32</v>
      </c>
      <c r="B36" s="37" t="s">
        <v>1223</v>
      </c>
      <c r="C36" s="4" t="s">
        <v>5</v>
      </c>
      <c r="D36" s="5">
        <v>70.400000000000006</v>
      </c>
      <c r="E36" s="6">
        <v>231.7</v>
      </c>
      <c r="F36" s="7">
        <v>-161.30000000000001</v>
      </c>
      <c r="G36" s="8" t="s">
        <v>1224</v>
      </c>
      <c r="H36" s="24">
        <v>46242</v>
      </c>
      <c r="I36" s="4">
        <v>21.3</v>
      </c>
      <c r="J36" s="4">
        <v>18.3</v>
      </c>
      <c r="K36" s="4">
        <v>3</v>
      </c>
      <c r="L36" s="4">
        <v>16.393442622950818</v>
      </c>
      <c r="M36" s="38"/>
    </row>
    <row r="37" spans="1:13" ht="18.75" customHeight="1" x14ac:dyDescent="0.25">
      <c r="A37" s="9">
        <v>33</v>
      </c>
      <c r="B37" s="37" t="s">
        <v>994</v>
      </c>
      <c r="C37" s="4" t="s">
        <v>5</v>
      </c>
      <c r="D37" s="5">
        <v>361.8</v>
      </c>
      <c r="E37" s="6">
        <v>563.07000000000005</v>
      </c>
      <c r="F37" s="7">
        <v>-201.27</v>
      </c>
      <c r="G37" s="8" t="s">
        <v>998</v>
      </c>
      <c r="H37" s="24">
        <v>46242</v>
      </c>
      <c r="I37" s="4">
        <v>88.7</v>
      </c>
      <c r="J37" s="4">
        <v>100.3</v>
      </c>
      <c r="K37" s="4">
        <v>-11.599999999999994</v>
      </c>
      <c r="L37" s="4">
        <v>-11.565304087736786</v>
      </c>
      <c r="M37" s="38" t="s">
        <v>1372</v>
      </c>
    </row>
    <row r="38" spans="1:13" ht="18.75" customHeight="1" x14ac:dyDescent="0.25">
      <c r="A38" s="9">
        <v>34</v>
      </c>
      <c r="B38" s="37" t="s">
        <v>214</v>
      </c>
      <c r="C38" s="4" t="s">
        <v>5</v>
      </c>
      <c r="D38" s="5">
        <v>274</v>
      </c>
      <c r="E38" s="6">
        <v>195.97</v>
      </c>
      <c r="F38" s="7">
        <v>78.03</v>
      </c>
      <c r="G38" s="8" t="s">
        <v>215</v>
      </c>
      <c r="H38" s="24">
        <v>46242</v>
      </c>
      <c r="I38" s="4">
        <v>68.099999999999994</v>
      </c>
      <c r="J38" s="4">
        <v>59.3</v>
      </c>
      <c r="K38" s="4">
        <v>8.7999999999999972</v>
      </c>
      <c r="L38" s="4">
        <v>14.8397976391231</v>
      </c>
      <c r="M38" s="38"/>
    </row>
    <row r="39" spans="1:13" ht="18.75" customHeight="1" x14ac:dyDescent="0.25">
      <c r="A39" s="9">
        <v>35</v>
      </c>
      <c r="B39" s="37" t="s">
        <v>1272</v>
      </c>
      <c r="C39" s="4" t="s">
        <v>5</v>
      </c>
      <c r="D39" s="5">
        <v>16.2</v>
      </c>
      <c r="E39" s="6">
        <v>119.327</v>
      </c>
      <c r="F39" s="7">
        <v>-103.127</v>
      </c>
      <c r="G39" s="8" t="s">
        <v>1276</v>
      </c>
      <c r="H39" s="24">
        <v>46242</v>
      </c>
      <c r="I39" s="4">
        <v>4.3199999999999994</v>
      </c>
      <c r="J39" s="4">
        <v>56.6</v>
      </c>
      <c r="K39" s="4">
        <v>-52.28</v>
      </c>
      <c r="L39" s="4">
        <v>-92.367491166077741</v>
      </c>
      <c r="M39" s="38" t="s">
        <v>1372</v>
      </c>
    </row>
    <row r="40" spans="1:13" ht="18.75" customHeight="1" x14ac:dyDescent="0.25">
      <c r="A40" s="9">
        <v>36</v>
      </c>
      <c r="B40" s="37" t="s">
        <v>264</v>
      </c>
      <c r="C40" s="4" t="s">
        <v>5</v>
      </c>
      <c r="D40" s="5">
        <v>237.6</v>
      </c>
      <c r="E40" s="6">
        <v>186</v>
      </c>
      <c r="F40" s="7">
        <v>51.6</v>
      </c>
      <c r="G40" s="8" t="s">
        <v>265</v>
      </c>
      <c r="H40" s="24">
        <v>46242</v>
      </c>
      <c r="I40" s="4">
        <v>60.1</v>
      </c>
      <c r="J40" s="4">
        <v>48.8</v>
      </c>
      <c r="K40" s="4">
        <v>11.300000000000004</v>
      </c>
      <c r="L40" s="4">
        <v>23.155737704918042</v>
      </c>
      <c r="M40" s="38"/>
    </row>
    <row r="41" spans="1:13" ht="18.75" customHeight="1" x14ac:dyDescent="0.25">
      <c r="A41" s="9">
        <v>37</v>
      </c>
      <c r="B41" s="37" t="s">
        <v>750</v>
      </c>
      <c r="C41" s="4" t="s">
        <v>5</v>
      </c>
      <c r="D41" s="5">
        <v>304.39999999999998</v>
      </c>
      <c r="E41" s="6">
        <v>344.48</v>
      </c>
      <c r="F41" s="7">
        <v>-40.08</v>
      </c>
      <c r="G41" s="8" t="s">
        <v>751</v>
      </c>
      <c r="H41" s="24">
        <v>46242</v>
      </c>
      <c r="I41" s="4">
        <v>75.599999999999994</v>
      </c>
      <c r="J41" s="4">
        <v>64.5</v>
      </c>
      <c r="K41" s="4">
        <v>11.099999999999994</v>
      </c>
      <c r="L41" s="4">
        <v>17.209302325581387</v>
      </c>
      <c r="M41" s="38"/>
    </row>
  </sheetData>
  <mergeCells count="11">
    <mergeCell ref="H3:H4"/>
    <mergeCell ref="I3:I4"/>
    <mergeCell ref="J3:J4"/>
    <mergeCell ref="A2:F2"/>
    <mergeCell ref="A1:M1"/>
    <mergeCell ref="A3:A4"/>
    <mergeCell ref="B3:B4"/>
    <mergeCell ref="C3:C4"/>
    <mergeCell ref="D3:D4"/>
    <mergeCell ref="E3:E4"/>
    <mergeCell ref="G3:G4"/>
  </mergeCells>
  <pageMargins left="0" right="0" top="0" bottom="0" header="0" footer="0"/>
  <pageSetup paperSize="9" scale="98" orientation="landscape" verticalDpi="0" r:id="rId1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бир кунлик</vt:lpstr>
      <vt:lpstr>Sheet0</vt:lpstr>
      <vt:lpstr>Sheet0 (2)</vt:lpstr>
      <vt:lpstr>Sheet0!Область_печати</vt:lpstr>
      <vt:lpstr>'Sheet0 (2)'!Область_печати</vt:lpstr>
      <vt:lpstr>'бир кунлик'!Область_печати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Дилшодбек</cp:lastModifiedBy>
  <cp:lastPrinted>2026-08-05T08:38:58Z</cp:lastPrinted>
  <dcterms:created xsi:type="dcterms:W3CDTF">2026-08-03T06:53:41Z</dcterms:created>
  <dcterms:modified xsi:type="dcterms:W3CDTF">2026-08-08T08:41:40Z</dcterms:modified>
</cp:coreProperties>
</file>