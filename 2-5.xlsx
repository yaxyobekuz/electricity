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Дилшодбек\Desktop\"/>
    </mc:Choice>
  </mc:AlternateContent>
  <xr:revisionPtr revIDLastSave="0" documentId="8_{EE2A5860-9D12-4181-A07D-9310D4D856A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ир кунлик" sheetId="2" r:id="rId1"/>
  </sheets>
  <definedNames>
    <definedName name="_xlnm._FilterDatabase" localSheetId="0" hidden="1">'бир кунлик'!$A$4:$H$11</definedName>
    <definedName name="_xlnm.Print_Area" localSheetId="0">'бир кунлик'!$A$1:$M$15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2" i="2" l="1"/>
  <c r="K12" i="2"/>
  <c r="J12" i="2"/>
  <c r="F12" i="2"/>
  <c r="E12" i="2"/>
  <c r="D12" i="2"/>
  <c r="L11" i="2"/>
  <c r="M11" i="2" s="1"/>
  <c r="L10" i="2"/>
  <c r="M10" i="2" s="1"/>
  <c r="L9" i="2"/>
  <c r="M9" i="2" s="1"/>
  <c r="L8" i="2"/>
  <c r="M8" i="2" s="1"/>
  <c r="L7" i="2"/>
  <c r="M7" i="2" s="1"/>
  <c r="L6" i="2"/>
  <c r="M6" i="2" s="1"/>
  <c r="M5" i="2"/>
  <c r="G11" i="2"/>
  <c r="G10" i="2"/>
  <c r="G9" i="2"/>
  <c r="G8" i="2"/>
  <c r="G7" i="2"/>
  <c r="G6" i="2"/>
  <c r="G5" i="2"/>
  <c r="L12" i="2" l="1"/>
  <c r="M12" i="2" s="1"/>
</calcChain>
</file>

<file path=xl/sharedStrings.xml><?xml version="1.0" encoding="utf-8"?>
<sst xmlns="http://schemas.openxmlformats.org/spreadsheetml/2006/main" count="33" uniqueCount="27">
  <si>
    <t>Отчет об ежедневных линейных потерях по фидерам</t>
  </si>
  <si>
    <t>ЭСП:Chinobod ETK</t>
  </si>
  <si>
    <t>№</t>
  </si>
  <si>
    <t>kWh</t>
  </si>
  <si>
    <t>01/08/2026</t>
  </si>
  <si>
    <t>179</t>
  </si>
  <si>
    <t>74/80</t>
  </si>
  <si>
    <t>171</t>
  </si>
  <si>
    <t>116/120</t>
  </si>
  <si>
    <t>226</t>
  </si>
  <si>
    <t>108/124</t>
  </si>
  <si>
    <t>166</t>
  </si>
  <si>
    <t>89</t>
  </si>
  <si>
    <t>77/88</t>
  </si>
  <si>
    <t>170</t>
  </si>
  <si>
    <t>152/158</t>
  </si>
  <si>
    <t>66</t>
  </si>
  <si>
    <t>143/148</t>
  </si>
  <si>
    <t>8/9</t>
  </si>
  <si>
    <t>ТП НОМИ</t>
  </si>
  <si>
    <t>САНА</t>
  </si>
  <si>
    <t>Бриктирилган истеъмолчилардан йиғилган кВт</t>
  </si>
  <si>
    <t>Тармоқдаги йўқотиш</t>
  </si>
  <si>
    <t>Тармоқдаги йўқотиш фоизда</t>
  </si>
  <si>
    <t>Жами</t>
  </si>
  <si>
    <t>Баланс хисоблагичдан йигилган  кВт/с</t>
  </si>
  <si>
    <t>Хатловдан кейин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</si>
</sst>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4" formatCode="0.0"/>
  </numFmts>
  <fonts count="14" x14ac:knownFonts="1">
    <font>
      <sz val="11"/>
      <color indexed="8"/>
      <name val="Calibri"/>
      <family val="2"/>
      <scheme val="minor"/>
    </font>
    <font>
      <b/>
      <sz val="22"/>
      <color indexed="8"/>
      <name val="Calibri"/>
      <family val="2"/>
      <charset val="204"/>
    </font>
    <font>
      <b/>
      <sz val="14"/>
      <color indexed="8"/>
      <name val="Calibri"/>
      <family val="2"/>
      <charset val="204"/>
    </font>
    <font>
      <sz val="14"/>
      <color indexed="8"/>
      <name val="Calibri"/>
      <family val="2"/>
      <charset val="204"/>
    </font>
    <font>
      <sz val="14"/>
      <color indexed="8"/>
      <name val="Calibri"/>
      <family val="2"/>
      <charset val="204"/>
    </font>
    <font>
      <sz val="14"/>
      <color indexed="8"/>
      <name val="Calibri"/>
      <family val="2"/>
      <charset val="204"/>
    </font>
    <font>
      <sz val="14"/>
      <color indexed="8"/>
      <name val="Calibri"/>
      <family val="2"/>
      <charset val="204"/>
    </font>
    <font>
      <sz val="14"/>
      <color indexed="8"/>
      <name val="Calibri"/>
      <family val="2"/>
      <charset val="204"/>
    </font>
    <font>
      <sz val="14"/>
      <color indexed="8"/>
      <name val="Calibri"/>
      <family val="2"/>
      <charset val="204"/>
    </font>
    <font>
      <sz val="14"/>
      <color indexed="8"/>
      <name val="Calibri"/>
      <family val="2"/>
      <charset val="204"/>
    </font>
    <font>
      <sz val="14"/>
      <color indexed="8"/>
      <name val="Calibri"/>
      <family val="2"/>
      <charset val="204"/>
    </font>
    <font>
      <b/>
      <sz val="14"/>
      <color indexed="8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12"/>
      <color indexed="8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4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right" vertical="center"/>
    </xf>
    <xf numFmtId="0" fontId="10" fillId="0" borderId="2" xfId="0" applyFont="1" applyBorder="1" applyAlignment="1">
      <alignment horizontal="center" vertical="center"/>
    </xf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4" fontId="6" fillId="0" borderId="2" xfId="0" applyNumberFormat="1" applyFont="1" applyBorder="1" applyAlignment="1">
      <alignment horizontal="center" vertical="center"/>
    </xf>
    <xf numFmtId="4" fontId="7" fillId="0" borderId="2" xfId="0" applyNumberFormat="1" applyFont="1" applyBorder="1" applyAlignment="1">
      <alignment horizontal="center" vertical="center"/>
    </xf>
    <xf numFmtId="4" fontId="8" fillId="0" borderId="2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174" fontId="8" fillId="0" borderId="2" xfId="0" applyNumberFormat="1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center" vertical="center"/>
    </xf>
    <xf numFmtId="0" fontId="0" fillId="0" borderId="2" xfId="0" applyBorder="1"/>
    <xf numFmtId="0" fontId="11" fillId="0" borderId="2" xfId="0" applyFont="1" applyBorder="1" applyAlignment="1">
      <alignment horizontal="center"/>
    </xf>
    <xf numFmtId="4" fontId="11" fillId="0" borderId="2" xfId="0" applyNumberFormat="1" applyFont="1" applyBorder="1" applyAlignment="1">
      <alignment horizontal="center"/>
    </xf>
    <xf numFmtId="174" fontId="2" fillId="0" borderId="2" xfId="0" applyNumberFormat="1" applyFont="1" applyBorder="1" applyAlignment="1">
      <alignment horizontal="center" vertical="center"/>
    </xf>
    <xf numFmtId="14" fontId="12" fillId="0" borderId="2" xfId="0" applyNumberFormat="1" applyFont="1" applyBorder="1" applyAlignment="1">
      <alignment horizontal="center" vertical="center"/>
    </xf>
    <xf numFmtId="14" fontId="13" fillId="0" borderId="2" xfId="0" applyNumberFormat="1" applyFont="1" applyBorder="1" applyAlignment="1">
      <alignment horizontal="center" vertical="center"/>
    </xf>
    <xf numFmtId="17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BF5E5-AD2A-45E4-BB4A-C1C7EA8B683B}">
  <dimension ref="A1:N12"/>
  <sheetViews>
    <sheetView tabSelected="1" zoomScaleNormal="100" workbookViewId="0">
      <selection activeCell="K8" sqref="K8"/>
    </sheetView>
  </sheetViews>
  <sheetFormatPr defaultRowHeight="15" x14ac:dyDescent="0.25"/>
  <cols>
    <col min="1" max="1" width="7.85546875" style="8" customWidth="1"/>
    <col min="2" max="2" width="13.7109375" style="8" customWidth="1"/>
    <col min="3" max="3" width="21.140625" style="8" customWidth="1"/>
    <col min="4" max="4" width="19.5703125" style="8" customWidth="1"/>
    <col min="5" max="5" width="19.85546875" style="8" customWidth="1"/>
    <col min="6" max="6" width="20.7109375" style="8" customWidth="1"/>
    <col min="7" max="7" width="16.7109375" style="8" customWidth="1"/>
    <col min="8" max="8" width="13.5703125" style="8" bestFit="1" customWidth="1"/>
    <col min="9" max="9" width="17" style="8" customWidth="1"/>
    <col min="10" max="10" width="16.7109375" style="8" customWidth="1"/>
    <col min="11" max="11" width="18.28515625" style="8" customWidth="1"/>
    <col min="12" max="12" width="18" style="8" customWidth="1"/>
    <col min="13" max="13" width="15" style="8" customWidth="1"/>
    <col min="14" max="16384" width="9.140625" style="8"/>
  </cols>
  <sheetData>
    <row r="1" spans="1:14" ht="28.5" customHeight="1" x14ac:dyDescent="0.25">
      <c r="A1" s="16" t="s">
        <v>0</v>
      </c>
      <c r="B1" s="17"/>
      <c r="C1" s="17"/>
      <c r="D1" s="17"/>
      <c r="E1" s="17"/>
      <c r="F1" s="17"/>
      <c r="G1" s="17"/>
      <c r="H1" s="17"/>
    </row>
    <row r="2" spans="1:14" ht="28.5" customHeight="1" x14ac:dyDescent="0.25">
      <c r="A2" s="19" t="s">
        <v>1</v>
      </c>
      <c r="B2" s="19"/>
      <c r="C2" s="19"/>
      <c r="D2" s="19"/>
      <c r="E2" s="19"/>
      <c r="F2" s="19"/>
      <c r="G2" s="10"/>
      <c r="H2" s="10"/>
    </row>
    <row r="3" spans="1:14" s="11" customFormat="1" ht="69.75" customHeight="1" x14ac:dyDescent="0.25">
      <c r="A3" s="18" t="s">
        <v>2</v>
      </c>
      <c r="B3" s="18" t="s">
        <v>19</v>
      </c>
      <c r="C3" s="18" t="s">
        <v>20</v>
      </c>
      <c r="D3" s="18" t="s">
        <v>25</v>
      </c>
      <c r="E3" s="18" t="s">
        <v>21</v>
      </c>
      <c r="F3" s="12" t="s">
        <v>22</v>
      </c>
      <c r="G3" s="12" t="s">
        <v>23</v>
      </c>
      <c r="H3" s="18" t="s">
        <v>26</v>
      </c>
      <c r="I3" s="18" t="s">
        <v>20</v>
      </c>
      <c r="J3" s="18" t="s">
        <v>25</v>
      </c>
      <c r="K3" s="18" t="s">
        <v>21</v>
      </c>
      <c r="L3" s="12" t="s">
        <v>22</v>
      </c>
      <c r="M3" s="12" t="s">
        <v>23</v>
      </c>
    </row>
    <row r="4" spans="1:14" ht="18.75" customHeight="1" x14ac:dyDescent="0.25">
      <c r="A4" s="17"/>
      <c r="B4" s="20"/>
      <c r="C4" s="20"/>
      <c r="D4" s="20"/>
      <c r="E4" s="20"/>
      <c r="F4" s="9" t="s">
        <v>3</v>
      </c>
      <c r="G4" s="9"/>
      <c r="H4" s="20"/>
      <c r="I4" s="20"/>
      <c r="J4" s="20"/>
      <c r="K4" s="20"/>
      <c r="L4" s="9" t="s">
        <v>3</v>
      </c>
      <c r="M4" s="9"/>
    </row>
    <row r="5" spans="1:14" ht="18.75" customHeight="1" x14ac:dyDescent="0.25">
      <c r="A5" s="7">
        <v>44</v>
      </c>
      <c r="B5" s="21" t="s">
        <v>5</v>
      </c>
      <c r="C5" s="28">
        <v>46236</v>
      </c>
      <c r="D5" s="13">
        <v>1020.6</v>
      </c>
      <c r="E5" s="4">
        <v>668.18</v>
      </c>
      <c r="F5" s="5">
        <v>352.42</v>
      </c>
      <c r="G5" s="22">
        <f>+F5/D5%</f>
        <v>34.530668234371944</v>
      </c>
      <c r="H5" s="6" t="s">
        <v>6</v>
      </c>
      <c r="I5" s="29">
        <v>46239</v>
      </c>
      <c r="J5" s="5">
        <v>834</v>
      </c>
      <c r="K5" s="5">
        <v>701</v>
      </c>
      <c r="L5" s="5">
        <v>132</v>
      </c>
      <c r="M5" s="22">
        <f>+L5/J5%</f>
        <v>15.827338129496404</v>
      </c>
    </row>
    <row r="6" spans="1:14" ht="18.75" customHeight="1" x14ac:dyDescent="0.25">
      <c r="A6" s="7">
        <v>70</v>
      </c>
      <c r="B6" s="21" t="s">
        <v>7</v>
      </c>
      <c r="C6" s="28">
        <v>46236</v>
      </c>
      <c r="D6" s="13">
        <v>1316</v>
      </c>
      <c r="E6" s="14">
        <v>1073.05</v>
      </c>
      <c r="F6" s="5">
        <v>242.95</v>
      </c>
      <c r="G6" s="22">
        <f t="shared" ref="G6:G12" si="0">+F6/D6%</f>
        <v>18.461246200607903</v>
      </c>
      <c r="H6" s="6" t="s">
        <v>8</v>
      </c>
      <c r="I6" s="29">
        <v>46239</v>
      </c>
      <c r="J6" s="5">
        <v>1115.2</v>
      </c>
      <c r="K6" s="5">
        <v>941.88</v>
      </c>
      <c r="L6" s="5">
        <f>+J6-K6</f>
        <v>173.32000000000005</v>
      </c>
      <c r="M6" s="22">
        <f>+L6/J6%</f>
        <v>15.541606886657105</v>
      </c>
    </row>
    <row r="7" spans="1:14" ht="18.75" customHeight="1" x14ac:dyDescent="0.25">
      <c r="A7" s="7">
        <v>241</v>
      </c>
      <c r="B7" s="21" t="s">
        <v>9</v>
      </c>
      <c r="C7" s="28">
        <v>46236</v>
      </c>
      <c r="D7" s="13">
        <v>2062.4</v>
      </c>
      <c r="E7" s="14">
        <v>2912.82</v>
      </c>
      <c r="F7" s="5">
        <v>-850.42</v>
      </c>
      <c r="G7" s="22">
        <f t="shared" si="0"/>
        <v>-41.234484096198599</v>
      </c>
      <c r="H7" s="6" t="s">
        <v>10</v>
      </c>
      <c r="I7" s="29">
        <v>46239</v>
      </c>
      <c r="J7" s="5">
        <v>1875.2</v>
      </c>
      <c r="K7" s="5">
        <v>2085.14</v>
      </c>
      <c r="L7" s="5">
        <f t="shared" ref="L7:L11" si="1">+J7-K7</f>
        <v>-209.93999999999983</v>
      </c>
      <c r="M7" s="22">
        <f t="shared" ref="M7:M12" si="2">+L7/J7%</f>
        <v>-11.195605802047773</v>
      </c>
    </row>
    <row r="8" spans="1:14" ht="18.75" customHeight="1" x14ac:dyDescent="0.25">
      <c r="A8" s="7">
        <v>299</v>
      </c>
      <c r="B8" s="21" t="s">
        <v>12</v>
      </c>
      <c r="C8" s="28">
        <v>46236</v>
      </c>
      <c r="D8" s="3">
        <v>660.8</v>
      </c>
      <c r="E8" s="14">
        <v>1802.22</v>
      </c>
      <c r="F8" s="15">
        <v>-1141.42</v>
      </c>
      <c r="G8" s="22">
        <f t="shared" si="0"/>
        <v>-172.73305084745763</v>
      </c>
      <c r="H8" s="6" t="s">
        <v>13</v>
      </c>
      <c r="I8" s="29">
        <v>46239</v>
      </c>
      <c r="J8" s="5">
        <v>533.20000000000005</v>
      </c>
      <c r="K8" s="5">
        <v>1030.8800000000001</v>
      </c>
      <c r="L8" s="5">
        <f t="shared" si="1"/>
        <v>-497.68000000000006</v>
      </c>
      <c r="M8" s="22">
        <f t="shared" si="2"/>
        <v>-93.338334583645917</v>
      </c>
    </row>
    <row r="9" spans="1:14" ht="18.75" customHeight="1" x14ac:dyDescent="0.25">
      <c r="A9" s="7">
        <v>305</v>
      </c>
      <c r="B9" s="21" t="s">
        <v>14</v>
      </c>
      <c r="C9" s="28">
        <v>46236</v>
      </c>
      <c r="D9" s="3">
        <v>350.8</v>
      </c>
      <c r="E9" s="14">
        <v>1028.3219999999999</v>
      </c>
      <c r="F9" s="5">
        <v>-677.52200000000005</v>
      </c>
      <c r="G9" s="22">
        <f t="shared" si="0"/>
        <v>-193.13625997719501</v>
      </c>
      <c r="H9" s="6" t="s">
        <v>15</v>
      </c>
      <c r="I9" s="29">
        <v>46239</v>
      </c>
      <c r="J9" s="5">
        <v>302</v>
      </c>
      <c r="K9" s="5">
        <v>532</v>
      </c>
      <c r="L9" s="5">
        <f t="shared" si="1"/>
        <v>-230</v>
      </c>
      <c r="M9" s="22">
        <f t="shared" si="2"/>
        <v>-76.158940397350989</v>
      </c>
    </row>
    <row r="10" spans="1:14" ht="18.75" customHeight="1" x14ac:dyDescent="0.25">
      <c r="A10" s="7">
        <v>313</v>
      </c>
      <c r="B10" s="21" t="s">
        <v>16</v>
      </c>
      <c r="C10" s="28">
        <v>46236</v>
      </c>
      <c r="D10" s="13">
        <v>1050</v>
      </c>
      <c r="E10" s="14">
        <v>4065.35</v>
      </c>
      <c r="F10" s="15">
        <v>-3015.35</v>
      </c>
      <c r="G10" s="22">
        <f t="shared" si="0"/>
        <v>-287.17619047619047</v>
      </c>
      <c r="H10" s="6" t="s">
        <v>17</v>
      </c>
      <c r="I10" s="29">
        <v>46239</v>
      </c>
      <c r="J10" s="5">
        <v>852</v>
      </c>
      <c r="K10" s="5">
        <v>1708</v>
      </c>
      <c r="L10" s="5">
        <f t="shared" si="1"/>
        <v>-856</v>
      </c>
      <c r="M10" s="22">
        <f t="shared" si="2"/>
        <v>-100.46948356807512</v>
      </c>
    </row>
    <row r="11" spans="1:14" ht="18.75" customHeight="1" x14ac:dyDescent="0.25">
      <c r="A11" s="7">
        <v>326</v>
      </c>
      <c r="B11" s="1" t="s">
        <v>11</v>
      </c>
      <c r="C11" s="2" t="s">
        <v>4</v>
      </c>
      <c r="D11" s="3">
        <v>812.4</v>
      </c>
      <c r="E11" s="14">
        <v>1530.61</v>
      </c>
      <c r="F11" s="5">
        <v>-718.21</v>
      </c>
      <c r="G11" s="22">
        <f t="shared" si="0"/>
        <v>-88.405957656326933</v>
      </c>
      <c r="H11" s="6" t="s">
        <v>18</v>
      </c>
      <c r="I11" s="23">
        <v>46239</v>
      </c>
      <c r="J11" s="5">
        <v>975</v>
      </c>
      <c r="K11" s="5">
        <v>1065</v>
      </c>
      <c r="L11" s="5">
        <f t="shared" si="1"/>
        <v>-90</v>
      </c>
      <c r="M11" s="22">
        <f t="shared" si="2"/>
        <v>-9.2307692307692299</v>
      </c>
    </row>
    <row r="12" spans="1:14" ht="18.75" x14ac:dyDescent="0.3">
      <c r="A12" s="24"/>
      <c r="B12" s="24"/>
      <c r="C12" s="25" t="s">
        <v>24</v>
      </c>
      <c r="D12" s="26">
        <f>SUM(D5:D11)</f>
        <v>7273</v>
      </c>
      <c r="E12" s="26">
        <f>SUM(E5:E11)</f>
        <v>13080.552000000001</v>
      </c>
      <c r="F12" s="26">
        <f>SUM(F5:F11)</f>
        <v>-5807.5520000000006</v>
      </c>
      <c r="G12" s="27">
        <f t="shared" si="0"/>
        <v>-79.850845593290259</v>
      </c>
      <c r="H12" s="25"/>
      <c r="I12" s="25"/>
      <c r="J12" s="26">
        <f t="shared" ref="J12:L12" si="3">SUM(J5:J11)</f>
        <v>6486.6</v>
      </c>
      <c r="K12" s="26">
        <f t="shared" si="3"/>
        <v>8063.9</v>
      </c>
      <c r="L12" s="26">
        <f t="shared" si="3"/>
        <v>-1578.2999999999997</v>
      </c>
      <c r="M12" s="27">
        <f t="shared" si="2"/>
        <v>-24.331699195264079</v>
      </c>
      <c r="N12" s="30"/>
    </row>
  </sheetData>
  <autoFilter ref="A4:H11" xr:uid="{93598724-FD0C-4178-9D5B-009F54AC8FF5}"/>
  <mergeCells count="12">
    <mergeCell ref="I3:I4"/>
    <mergeCell ref="J3:J4"/>
    <mergeCell ref="K3:K4"/>
    <mergeCell ref="A1:H1"/>
    <mergeCell ref="A2:B2"/>
    <mergeCell ref="C2:F2"/>
    <mergeCell ref="A3:A4"/>
    <mergeCell ref="B3:B4"/>
    <mergeCell ref="C3:C4"/>
    <mergeCell ref="D3:D4"/>
    <mergeCell ref="E3:E4"/>
    <mergeCell ref="H3:H4"/>
  </mergeCells>
  <pageMargins left="0.25" right="0.25" top="0.75" bottom="0.75" header="0.3" footer="0.3"/>
  <pageSetup paperSize="9" scale="65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бир кунлик</vt:lpstr>
      <vt:lpstr>'бир кунлик'!Область_печати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Дилшодбек</cp:lastModifiedBy>
  <cp:lastPrinted>2026-08-05T08:38:58Z</cp:lastPrinted>
  <dcterms:created xsi:type="dcterms:W3CDTF">2026-08-03T06:53:41Z</dcterms:created>
  <dcterms:modified xsi:type="dcterms:W3CDTF">2026-08-05T08:46:08Z</dcterms:modified>
</cp:coreProperties>
</file>